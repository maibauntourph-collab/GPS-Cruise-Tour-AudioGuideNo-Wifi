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대시보드" sheetId="1" state="visible" r:id="rId1"/>
    <sheet xmlns:r="http://schemas.openxmlformats.org/officeDocument/2006/relationships" name="🔑 직급별 통합시뮬" sheetId="2" state="visible" r:id="rId2"/>
    <sheet xmlns:r="http://schemas.openxmlformats.org/officeDocument/2006/relationships" name="💰 개인판매 수익" sheetId="3" state="visible" r:id="rId3"/>
    <sheet xmlns:r="http://schemas.openxmlformats.org/officeDocument/2006/relationships" name="🏗️ 오버라이드 구조" sheetId="4" state="visible" r:id="rId4"/>
    <sheet xmlns:r="http://schemas.openxmlformats.org/officeDocument/2006/relationships" name="🌏 글로벌 벤치마크" sheetId="5" state="visible" r:id="rId5"/>
    <sheet xmlns:r="http://schemas.openxmlformats.org/officeDocument/2006/relationships" name="🎯 나만의 시뮬레이터" sheetId="6" state="visible" r:id="rId6"/>
    <sheet xmlns:r="http://schemas.openxmlformats.org/officeDocument/2006/relationships" name="📣 시장전망 &amp; 전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0">
    <font>
      <name val="Calibri"/>
      <family val="2"/>
      <color theme="1"/>
      <sz val="11"/>
      <scheme val="minor"/>
    </font>
    <font>
      <name val="Arial"/>
      <b val="1"/>
      <color rgb="00D4AF37"/>
      <sz val="18"/>
    </font>
    <font>
      <name val="Arial"/>
      <color rgb="00CCCCCC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27AE60"/>
      <sz val="10"/>
    </font>
    <font>
      <name val="Arial"/>
      <color rgb="00333333"/>
      <sz val="10"/>
    </font>
    <font>
      <name val="Arial"/>
      <color rgb="00003399"/>
      <sz val="10"/>
    </font>
    <font>
      <name val="Arial"/>
      <color rgb="00555555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b val="1"/>
      <color rgb="006A1B9A"/>
      <sz val="10"/>
    </font>
    <font>
      <name val="Arial"/>
      <b val="1"/>
      <color rgb="00B8860B"/>
      <sz val="10"/>
    </font>
    <font>
      <name val="Arial"/>
      <b val="1"/>
      <color rgb="00FFFFFF"/>
      <sz val="11"/>
    </font>
    <font>
      <name val="Arial"/>
      <color rgb="001A3A2A"/>
      <sz val="10"/>
    </font>
    <font>
      <name val="Arial"/>
      <b val="1"/>
      <color rgb="00D4AF37"/>
      <sz val="11"/>
    </font>
    <font>
      <name val="Arial"/>
      <color rgb="00EEEEEE"/>
      <sz val="9"/>
    </font>
    <font>
      <name val="Arial"/>
      <b val="1"/>
      <color rgb="00D4AF37"/>
      <sz val="16"/>
    </font>
    <font>
      <name val="Arial"/>
      <color rgb="00AAAAAA"/>
      <sz val="9"/>
    </font>
    <font>
      <name val="Arial"/>
      <b val="1"/>
      <color rgb="001A5276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D4AF37"/>
      <sz val="9"/>
    </font>
    <font>
      <name val="Arial"/>
      <color rgb="00003388"/>
      <sz val="10"/>
    </font>
    <font>
      <name val="Arial"/>
      <color rgb="00006600"/>
      <sz val="10"/>
    </font>
    <font>
      <name val="Arial"/>
      <b val="1"/>
      <color rgb="001A5C1A"/>
      <sz val="10"/>
    </font>
    <font>
      <name val="Arial"/>
      <color rgb="001A3A1A"/>
      <sz val="10"/>
    </font>
    <font>
      <name val="Arial"/>
      <b val="1"/>
      <color rgb="00D4AF37"/>
      <sz val="15"/>
    </font>
    <font>
      <name val="Arial"/>
      <color rgb="000D3B5E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D3B5E"/>
      <sz val="10"/>
    </font>
    <font>
      <name val="Arial"/>
      <b val="1"/>
      <color rgb="001A3A6A"/>
      <sz val="10"/>
    </font>
    <font>
      <name val="Arial"/>
      <b val="1"/>
      <color rgb="00006600"/>
      <sz val="10"/>
    </font>
    <font>
      <name val="Arial"/>
      <b val="1"/>
      <color rgb="00FFFFFF"/>
      <sz val="9"/>
    </font>
    <font>
      <name val="Arial"/>
      <b val="1"/>
      <color rgb="000D5E4E"/>
      <sz val="9"/>
    </font>
    <font>
      <name val="Arial"/>
      <color rgb="00333333"/>
      <sz val="9"/>
    </font>
    <font>
      <name val="Arial"/>
      <b val="1"/>
      <color rgb="008B0000"/>
      <sz val="10"/>
    </font>
    <font>
      <name val="Arial"/>
      <color rgb="00FFDD88"/>
      <sz val="10"/>
    </font>
    <font>
      <name val="Arial"/>
      <b val="1"/>
      <color rgb="000000FF"/>
      <sz val="11"/>
    </font>
    <font>
      <name val="Arial"/>
      <color rgb="00666666"/>
      <sz val="10"/>
    </font>
    <font>
      <name val="Arial"/>
      <color rgb="00555555"/>
      <sz val="9"/>
    </font>
    <font>
      <name val="Arial"/>
      <b val="1"/>
      <color rgb="008B0066"/>
      <sz val="10"/>
    </font>
    <font>
      <name val="Arial"/>
      <color rgb="00999999"/>
      <sz val="10"/>
    </font>
    <font>
      <name val="Arial"/>
      <b val="1"/>
      <color rgb="00FFFFFF"/>
      <sz val="13"/>
    </font>
    <font>
      <name val="Arial"/>
      <b val="1"/>
      <color rgb="006A0DAD"/>
      <sz val="11"/>
    </font>
    <font>
      <name val="Arial"/>
      <b val="1"/>
      <color rgb="006A0DAD"/>
      <sz val="10"/>
    </font>
    <font>
      <name val="Arial"/>
      <b val="1"/>
      <color rgb="00B8860B"/>
      <sz val="11"/>
    </font>
    <font>
      <name val="Arial"/>
      <b val="1"/>
      <color rgb="00555555"/>
      <sz val="11"/>
    </font>
    <font>
      <name val="Arial"/>
      <b val="1"/>
      <color rgb="00555555"/>
      <sz val="10"/>
    </font>
    <font>
      <name val="Arial"/>
      <b val="1"/>
      <color rgb="00A0522D"/>
      <sz val="11"/>
    </font>
    <font>
      <name val="Arial"/>
      <b val="1"/>
      <color rgb="00A0522D"/>
      <sz val="10"/>
    </font>
    <font>
      <name val="Arial"/>
      <b val="1"/>
      <color rgb="002E7D32"/>
      <sz val="11"/>
    </font>
    <font>
      <name val="Arial"/>
      <b val="1"/>
      <color rgb="002E7D32"/>
      <sz val="10"/>
    </font>
    <font>
      <name val="Arial"/>
      <b val="1"/>
      <color rgb="008B4500"/>
      <sz val="10"/>
    </font>
    <font>
      <name val="Arial"/>
      <color rgb="001A5C1A"/>
      <sz val="9"/>
    </font>
    <font>
      <name val="Arial"/>
      <b val="1"/>
      <color rgb="00C0392B"/>
      <sz val="10"/>
    </font>
    <font>
      <name val="Arial"/>
      <b val="1"/>
      <color rgb="00D4AF37"/>
      <sz val="12"/>
    </font>
    <font>
      <name val="Arial"/>
      <color rgb="00CCDDFF"/>
      <sz val="9"/>
    </font>
    <font>
      <name val="Arial"/>
      <b val="1"/>
      <color rgb="00333333"/>
      <sz val="10"/>
    </font>
  </fonts>
  <fills count="3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16A085"/>
      </patternFill>
    </fill>
    <fill>
      <patternFill patternType="solid">
        <fgColor rgb="001A6B5A"/>
      </patternFill>
    </fill>
    <fill>
      <patternFill patternType="solid">
        <fgColor rgb="00F0FAF7"/>
      </patternFill>
    </fill>
    <fill>
      <patternFill patternType="solid">
        <fgColor rgb="00FFFFFF"/>
      </patternFill>
    </fill>
    <fill>
      <patternFill patternType="solid">
        <fgColor rgb="001A2A3A"/>
      </patternFill>
    </fill>
    <fill>
      <patternFill patternType="solid">
        <fgColor rgb="0034495E"/>
      </patternFill>
    </fill>
    <fill>
      <patternFill patternType="solid">
        <fgColor rgb="00F5F9FF"/>
      </patternFill>
    </fill>
    <fill>
      <patternFill patternType="solid">
        <fgColor rgb="00EBF5FB"/>
      </patternFill>
    </fill>
    <fill>
      <patternFill patternType="solid">
        <fgColor rgb="001A3A1A"/>
      </patternFill>
    </fill>
    <fill>
      <patternFill patternType="solid">
        <fgColor rgb="00E8F8E8"/>
      </patternFill>
    </fill>
    <fill>
      <patternFill patternType="solid">
        <fgColor rgb="00F0FFF0"/>
      </patternFill>
    </fill>
    <fill>
      <patternFill patternType="solid">
        <fgColor rgb="000D3B5E"/>
      </patternFill>
    </fill>
    <fill>
      <patternFill patternType="solid">
        <fgColor rgb="00FDFEFE"/>
      </patternFill>
    </fill>
    <fill>
      <patternFill patternType="solid">
        <fgColor rgb="001A3A6A"/>
      </patternFill>
    </fill>
    <fill>
      <patternFill patternType="solid">
        <fgColor rgb="004A1A5A"/>
      </patternFill>
    </fill>
    <fill>
      <patternFill patternType="solid">
        <fgColor rgb="00F5EEF8"/>
      </patternFill>
    </fill>
    <fill>
      <patternFill patternType="solid">
        <fgColor rgb="00EBF8E1"/>
      </patternFill>
    </fill>
    <fill>
      <patternFill patternType="solid">
        <fgColor rgb="00F9FBE7"/>
      </patternFill>
    </fill>
    <fill>
      <patternFill patternType="solid">
        <fgColor rgb="00E0F7F4"/>
      </patternFill>
    </fill>
    <fill>
      <patternFill patternType="solid">
        <fgColor rgb="008B0000"/>
      </patternFill>
    </fill>
    <fill>
      <patternFill patternType="solid">
        <fgColor rgb="00FFF5F5"/>
      </patternFill>
    </fill>
    <fill>
      <patternFill patternType="solid">
        <fgColor rgb="00DDEEFF"/>
      </patternFill>
    </fill>
    <fill>
      <patternFill patternType="solid">
        <fgColor rgb="00FFFFF0"/>
      </patternFill>
    </fill>
    <fill>
      <patternFill patternType="solid">
        <fgColor rgb="001A5C1A"/>
      </patternFill>
    </fill>
    <fill>
      <patternFill patternType="solid">
        <fgColor rgb="00E8D5FF"/>
      </patternFill>
    </fill>
    <fill>
      <patternFill patternType="solid">
        <fgColor rgb="00FFF3CD"/>
      </patternFill>
    </fill>
    <fill>
      <patternFill patternType="solid">
        <fgColor rgb="00E8E8E8"/>
      </patternFill>
    </fill>
    <fill>
      <patternFill patternType="solid">
        <fgColor rgb="00F5E6D3"/>
      </patternFill>
    </fill>
    <fill>
      <patternFill patternType="solid">
        <fgColor rgb="00FFF9E6"/>
      </patternFill>
    </fill>
    <fill>
      <patternFill patternType="solid">
        <fgColor rgb="001A2A4A"/>
      </patternFill>
    </fill>
  </fills>
  <borders count="17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AACCEE"/>
      </left>
      <right style="thin">
        <color rgb="00AACCEE"/>
      </right>
      <top style="thin">
        <color rgb="00AACCEE"/>
      </top>
      <bottom style="thin">
        <color rgb="00AACCEE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thin">
        <color rgb="00AACCAA"/>
      </left>
      <right style="thin">
        <color rgb="00AACCAA"/>
      </right>
      <top style="thin">
        <color rgb="00AACCAA"/>
      </top>
      <bottom style="thin">
        <color rgb="00AACCAA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BBCCDD"/>
      </left>
      <right style="thin">
        <color rgb="00BBCCDD"/>
      </right>
      <top style="thin">
        <color rgb="00BBCCDD"/>
      </top>
      <bottom style="thin">
        <color rgb="00BBCCDD"/>
      </bottom>
    </border>
    <border>
      <left style="thin">
        <color rgb="00CCAADD"/>
      </left>
      <right style="thin">
        <color rgb="00CCAADD"/>
      </right>
      <top style="thin">
        <color rgb="00CCAADD"/>
      </top>
      <bottom style="thin">
        <color rgb="00CCAADD"/>
      </bottom>
    </border>
    <border>
      <left style="thin">
        <color rgb="00AACCCC"/>
      </left>
      <right style="thin">
        <color rgb="00AACCCC"/>
      </right>
      <top style="thin">
        <color rgb="00AACCCC"/>
      </top>
      <bottom style="thin">
        <color rgb="00AACCCC"/>
      </bottom>
    </border>
    <border>
      <left style="thin">
        <color rgb="00DDAAAA"/>
      </left>
      <right style="thin">
        <color rgb="00DDAAAA"/>
      </right>
      <top style="thin">
        <color rgb="00DDAAAA"/>
      </top>
      <bottom style="thin">
        <color rgb="00DDAAAA"/>
      </bottom>
    </border>
    <border>
      <left style="thin">
        <color rgb="004488BB"/>
      </left>
      <right style="thin">
        <color rgb="004488BB"/>
      </right>
      <top style="thin">
        <color rgb="004488BB"/>
      </top>
      <bottom style="thin">
        <color rgb="004488BB"/>
      </bottom>
    </border>
    <border>
      <left style="thin">
        <color rgb="0088CC88"/>
      </left>
      <right style="thin">
        <color rgb="0088CC88"/>
      </right>
      <top style="thin">
        <color rgb="0088CC88"/>
      </top>
      <bottom style="thin">
        <color rgb="0088CC88"/>
      </bottom>
    </border>
    <border>
      <left style="medium">
        <color rgb="00006600"/>
      </left>
      <right style="medium">
        <color rgb="00006600"/>
      </right>
      <top style="medium">
        <color rgb="00006600"/>
      </top>
      <bottom style="medium">
        <color rgb="00006600"/>
      </bottom>
    </border>
    <border>
      <left style="medium">
        <color rgb="00003388"/>
      </left>
      <right style="medium">
        <color rgb="00003388"/>
      </right>
      <top style="medium">
        <color rgb="00003388"/>
      </top>
      <bottom style="medium">
        <color rgb="00003388"/>
      </bottom>
    </border>
    <border>
      <left style="thin">
        <color rgb="00DDCCAA"/>
      </left>
      <right style="thin">
        <color rgb="00DDCCAA"/>
      </right>
      <top style="thin">
        <color rgb="00DDCCAA"/>
      </top>
      <bottom style="thin">
        <color rgb="00DDCCAA"/>
      </bottom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center" vertical="center"/>
    </xf>
    <xf numFmtId="3" fontId="6" fillId="5" borderId="2" applyAlignment="1" pivotButton="0" quotePrefix="0" xfId="0">
      <alignment horizontal="center" vertical="center"/>
    </xf>
    <xf numFmtId="3" fontId="7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/>
    </xf>
    <xf numFmtId="3" fontId="10" fillId="6" borderId="2" applyAlignment="1" pivotButton="0" quotePrefix="0" xfId="0">
      <alignment horizontal="center" vertical="center"/>
    </xf>
    <xf numFmtId="3" fontId="6" fillId="6" borderId="2" applyAlignment="1" pivotButton="0" quotePrefix="0" xfId="0">
      <alignment horizontal="center" vertical="center"/>
    </xf>
    <xf numFmtId="3" fontId="7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/>
    </xf>
    <xf numFmtId="3" fontId="11" fillId="7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center" vertical="center"/>
    </xf>
    <xf numFmtId="3" fontId="7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center" vertical="center"/>
    </xf>
    <xf numFmtId="3" fontId="6" fillId="8" borderId="2" applyAlignment="1" pivotButton="0" quotePrefix="0" xfId="0">
      <alignment horizontal="center" vertical="center"/>
    </xf>
    <xf numFmtId="3" fontId="7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center" vertical="center"/>
    </xf>
    <xf numFmtId="0" fontId="6" fillId="15" borderId="3" applyAlignment="1" pivotButton="0" quotePrefix="0" xfId="0">
      <alignment horizontal="left" vertical="center"/>
    </xf>
    <xf numFmtId="0" fontId="9" fillId="12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9" fillId="16" borderId="4" applyAlignment="1" pivotButton="0" quotePrefix="0" xfId="0">
      <alignment horizontal="left" vertical="center"/>
    </xf>
    <xf numFmtId="164" fontId="20" fillId="16" borderId="4" applyAlignment="1" pivotButton="0" quotePrefix="0" xfId="0">
      <alignment horizontal="center" vertical="center"/>
    </xf>
    <xf numFmtId="0" fontId="21" fillId="16" borderId="4" applyAlignment="1" pivotButton="0" quotePrefix="0" xfId="0">
      <alignment horizontal="center" vertical="center"/>
    </xf>
    <xf numFmtId="3" fontId="20" fillId="16" borderId="4" applyAlignment="1" pivotButton="0" quotePrefix="0" xfId="0">
      <alignment horizontal="center" vertical="center"/>
    </xf>
    <xf numFmtId="0" fontId="22" fillId="2" borderId="5" applyAlignment="1" pivotButton="0" quotePrefix="0" xfId="0">
      <alignment horizontal="center" vertical="center" wrapText="1"/>
    </xf>
    <xf numFmtId="3" fontId="23" fillId="4" borderId="2" applyAlignment="1" pivotButton="0" quotePrefix="0" xfId="0">
      <alignment horizontal="center" vertical="center"/>
    </xf>
    <xf numFmtId="3" fontId="21" fillId="4" borderId="2" applyAlignment="1" pivotButton="0" quotePrefix="0" xfId="0">
      <alignment horizontal="center" vertical="center"/>
    </xf>
    <xf numFmtId="3" fontId="24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/>
    </xf>
    <xf numFmtId="3" fontId="23" fillId="5" borderId="2" applyAlignment="1" pivotButton="0" quotePrefix="0" xfId="0">
      <alignment horizontal="center" vertical="center"/>
    </xf>
    <xf numFmtId="3" fontId="21" fillId="5" borderId="2" applyAlignment="1" pivotButton="0" quotePrefix="0" xfId="0">
      <alignment horizontal="center" vertical="center"/>
    </xf>
    <xf numFmtId="3" fontId="24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center" vertical="center"/>
    </xf>
    <xf numFmtId="3" fontId="23" fillId="6" borderId="2" applyAlignment="1" pivotButton="0" quotePrefix="0" xfId="0">
      <alignment horizontal="center" vertical="center"/>
    </xf>
    <xf numFmtId="3" fontId="21" fillId="6" borderId="2" applyAlignment="1" pivotButton="0" quotePrefix="0" xfId="0">
      <alignment horizontal="center" vertical="center"/>
    </xf>
    <xf numFmtId="3" fontId="24" fillId="6" borderId="2" applyAlignment="1" pivotButton="0" quotePrefix="0" xfId="0">
      <alignment horizontal="center" vertical="center"/>
    </xf>
    <xf numFmtId="3" fontId="10" fillId="6" borderId="2" applyAlignment="1" pivotButton="0" quotePrefix="0" xfId="0">
      <alignment horizontal="center" vertical="center"/>
    </xf>
    <xf numFmtId="3" fontId="23" fillId="7" borderId="2" applyAlignment="1" pivotButton="0" quotePrefix="0" xfId="0">
      <alignment horizontal="center" vertical="center"/>
    </xf>
    <xf numFmtId="3" fontId="21" fillId="7" borderId="2" applyAlignment="1" pivotButton="0" quotePrefix="0" xfId="0">
      <alignment horizontal="center" vertical="center"/>
    </xf>
    <xf numFmtId="3" fontId="24" fillId="7" borderId="2" applyAlignment="1" pivotButton="0" quotePrefix="0" xfId="0">
      <alignment horizontal="center" vertical="center"/>
    </xf>
    <xf numFmtId="3" fontId="11" fillId="7" borderId="2" applyAlignment="1" pivotButton="0" quotePrefix="0" xfId="0">
      <alignment horizontal="center" vertical="center"/>
    </xf>
    <xf numFmtId="3" fontId="23" fillId="8" borderId="2" applyAlignment="1" pivotButton="0" quotePrefix="0" xfId="0">
      <alignment horizontal="center" vertical="center"/>
    </xf>
    <xf numFmtId="3" fontId="21" fillId="8" borderId="2" applyAlignment="1" pivotButton="0" quotePrefix="0" xfId="0">
      <alignment horizontal="center" vertical="center"/>
    </xf>
    <xf numFmtId="3" fontId="24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center" vertical="center"/>
    </xf>
    <xf numFmtId="0" fontId="13" fillId="17" borderId="0" applyAlignment="1" pivotButton="0" quotePrefix="0" xfId="0">
      <alignment horizontal="center" vertical="center"/>
    </xf>
    <xf numFmtId="0" fontId="25" fillId="18" borderId="6" applyAlignment="1" pivotButton="0" quotePrefix="0" xfId="0">
      <alignment horizontal="center" vertical="center"/>
    </xf>
    <xf numFmtId="0" fontId="26" fillId="18" borderId="6" applyAlignment="1" pivotButton="0" quotePrefix="0" xfId="0">
      <alignment horizontal="left" vertical="center" wrapText="1"/>
    </xf>
    <xf numFmtId="0" fontId="25" fillId="19" borderId="6" applyAlignment="1" pivotButton="0" quotePrefix="0" xfId="0">
      <alignment horizontal="center" vertical="center"/>
    </xf>
    <xf numFmtId="0" fontId="26" fillId="19" borderId="6" applyAlignment="1" pivotButton="0" quotePrefix="0" xfId="0">
      <alignment horizontal="left" vertical="center" wrapText="1"/>
    </xf>
    <xf numFmtId="0" fontId="27" fillId="2" borderId="0" applyAlignment="1" pivotButton="0" quotePrefix="0" xfId="0">
      <alignment horizontal="center" vertical="center"/>
    </xf>
    <xf numFmtId="0" fontId="4" fillId="20" borderId="7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9" fillId="16" borderId="8" applyAlignment="1" pivotButton="0" quotePrefix="0" xfId="0">
      <alignment horizontal="center" vertical="center"/>
    </xf>
    <xf numFmtId="164" fontId="29" fillId="16" borderId="8" applyAlignment="1" pivotButton="0" quotePrefix="0" xfId="0">
      <alignment horizontal="center" vertical="center"/>
    </xf>
    <xf numFmtId="3" fontId="21" fillId="16" borderId="8" applyAlignment="1" pivotButton="0" quotePrefix="0" xfId="0">
      <alignment horizontal="center" vertical="center"/>
    </xf>
    <xf numFmtId="3" fontId="30" fillId="16" borderId="8" applyAlignment="1" pivotButton="0" quotePrefix="0" xfId="0">
      <alignment horizontal="center" vertical="center"/>
    </xf>
    <xf numFmtId="0" fontId="28" fillId="21" borderId="8" applyAlignment="1" pivotButton="0" quotePrefix="0" xfId="0">
      <alignment horizontal="center" vertical="center"/>
    </xf>
    <xf numFmtId="3" fontId="29" fillId="21" borderId="8" applyAlignment="1" pivotButton="0" quotePrefix="0" xfId="0">
      <alignment horizontal="center" vertical="center"/>
    </xf>
    <xf numFmtId="164" fontId="29" fillId="21" borderId="8" applyAlignment="1" pivotButton="0" quotePrefix="0" xfId="0">
      <alignment horizontal="center" vertical="center"/>
    </xf>
    <xf numFmtId="3" fontId="21" fillId="21" borderId="8" applyAlignment="1" pivotButton="0" quotePrefix="0" xfId="0">
      <alignment horizontal="center" vertical="center"/>
    </xf>
    <xf numFmtId="3" fontId="30" fillId="21" borderId="8" applyAlignment="1" pivotButton="0" quotePrefix="0" xfId="0">
      <alignment horizontal="center" vertical="center"/>
    </xf>
    <xf numFmtId="0" fontId="31" fillId="16" borderId="8" applyAlignment="1" pivotButton="0" quotePrefix="0" xfId="0">
      <alignment horizontal="center" vertical="center"/>
    </xf>
    <xf numFmtId="0" fontId="4" fillId="22" borderId="7" applyAlignment="1" pivotButton="0" quotePrefix="0" xfId="0">
      <alignment horizontal="center" vertical="center"/>
    </xf>
    <xf numFmtId="0" fontId="32" fillId="16" borderId="8" applyAlignment="1" pivotButton="0" quotePrefix="0" xfId="0">
      <alignment horizontal="center" vertical="center"/>
    </xf>
    <xf numFmtId="0" fontId="6" fillId="16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center" vertical="center"/>
    </xf>
    <xf numFmtId="0" fontId="6" fillId="21" borderId="8" applyAlignment="1" pivotButton="0" quotePrefix="0" xfId="0">
      <alignment horizontal="center" vertical="center"/>
    </xf>
    <xf numFmtId="0" fontId="4" fillId="23" borderId="7" applyAlignment="1" pivotButton="0" quotePrefix="0" xfId="0">
      <alignment horizontal="center" vertical="center"/>
    </xf>
    <xf numFmtId="3" fontId="29" fillId="24" borderId="9" applyAlignment="1" pivotButton="0" quotePrefix="0" xfId="0">
      <alignment horizontal="center" vertical="center"/>
    </xf>
    <xf numFmtId="3" fontId="29" fillId="24" borderId="9" applyAlignment="1" pivotButton="0" quotePrefix="0" xfId="0">
      <alignment horizontal="center" vertical="center"/>
    </xf>
    <xf numFmtId="49" fontId="21" fillId="24" borderId="9" applyAlignment="1" pivotButton="0" quotePrefix="0" xfId="0">
      <alignment horizontal="center" vertical="center"/>
    </xf>
    <xf numFmtId="3" fontId="21" fillId="24" borderId="9" applyAlignment="1" pivotButton="0" quotePrefix="0" xfId="0">
      <alignment horizontal="center" vertical="center"/>
    </xf>
    <xf numFmtId="3" fontId="24" fillId="24" borderId="9" applyAlignment="1" pivotButton="0" quotePrefix="0" xfId="0">
      <alignment horizontal="center" vertical="center"/>
    </xf>
    <xf numFmtId="3" fontId="33" fillId="24" borderId="9" applyAlignment="1" pivotButton="0" quotePrefix="0" xfId="0">
      <alignment horizontal="center" vertical="center"/>
    </xf>
    <xf numFmtId="3" fontId="29" fillId="21" borderId="9" applyAlignment="1" pivotButton="0" quotePrefix="0" xfId="0">
      <alignment horizontal="center" vertical="center"/>
    </xf>
    <xf numFmtId="3" fontId="29" fillId="21" borderId="9" applyAlignment="1" pivotButton="0" quotePrefix="0" xfId="0">
      <alignment horizontal="center" vertical="center"/>
    </xf>
    <xf numFmtId="49" fontId="21" fillId="21" borderId="9" applyAlignment="1" pivotButton="0" quotePrefix="0" xfId="0">
      <alignment horizontal="center" vertical="center"/>
    </xf>
    <xf numFmtId="3" fontId="21" fillId="21" borderId="9" applyAlignment="1" pivotButton="0" quotePrefix="0" xfId="0">
      <alignment horizontal="center" vertical="center"/>
    </xf>
    <xf numFmtId="3" fontId="24" fillId="21" borderId="9" applyAlignment="1" pivotButton="0" quotePrefix="0" xfId="0">
      <alignment horizontal="center" vertical="center"/>
    </xf>
    <xf numFmtId="3" fontId="33" fillId="21" borderId="9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3" fontId="29" fillId="4" borderId="2" applyAlignment="1" pivotButton="0" quotePrefix="0" xfId="0">
      <alignment horizontal="center" vertical="center"/>
    </xf>
    <xf numFmtId="164" fontId="29" fillId="4" borderId="2" applyAlignment="1" pivotButton="0" quotePrefix="0" xfId="0">
      <alignment horizontal="center" vertical="center"/>
    </xf>
    <xf numFmtId="3" fontId="30" fillId="4" borderId="2" applyAlignment="1" pivotButton="0" quotePrefix="0" xfId="0">
      <alignment horizontal="center" vertical="center"/>
    </xf>
    <xf numFmtId="3" fontId="29" fillId="5" borderId="2" applyAlignment="1" pivotButton="0" quotePrefix="0" xfId="0">
      <alignment horizontal="center" vertical="center"/>
    </xf>
    <xf numFmtId="164" fontId="29" fillId="5" borderId="2" applyAlignment="1" pivotButton="0" quotePrefix="0" xfId="0">
      <alignment horizontal="center" vertical="center"/>
    </xf>
    <xf numFmtId="3" fontId="30" fillId="5" borderId="2" applyAlignment="1" pivotButton="0" quotePrefix="0" xfId="0">
      <alignment horizontal="center" vertical="center"/>
    </xf>
    <xf numFmtId="3" fontId="29" fillId="6" borderId="2" applyAlignment="1" pivotButton="0" quotePrefix="0" xfId="0">
      <alignment horizontal="center" vertical="center"/>
    </xf>
    <xf numFmtId="164" fontId="29" fillId="6" borderId="2" applyAlignment="1" pivotButton="0" quotePrefix="0" xfId="0">
      <alignment horizontal="center" vertical="center"/>
    </xf>
    <xf numFmtId="3" fontId="30" fillId="6" borderId="2" applyAlignment="1" pivotButton="0" quotePrefix="0" xfId="0">
      <alignment horizontal="center" vertical="center"/>
    </xf>
    <xf numFmtId="3" fontId="29" fillId="7" borderId="2" applyAlignment="1" pivotButton="0" quotePrefix="0" xfId="0">
      <alignment horizontal="center" vertical="center"/>
    </xf>
    <xf numFmtId="164" fontId="29" fillId="7" borderId="2" applyAlignment="1" pivotButton="0" quotePrefix="0" xfId="0">
      <alignment horizontal="center" vertical="center"/>
    </xf>
    <xf numFmtId="3" fontId="30" fillId="7" borderId="2" applyAlignment="1" pivotButton="0" quotePrefix="0" xfId="0">
      <alignment horizontal="center" vertical="center"/>
    </xf>
    <xf numFmtId="3" fontId="29" fillId="8" borderId="2" applyAlignment="1" pivotButton="0" quotePrefix="0" xfId="0">
      <alignment horizontal="center" vertical="center"/>
    </xf>
    <xf numFmtId="164" fontId="29" fillId="8" borderId="2" applyAlignment="1" pivotButton="0" quotePrefix="0" xfId="0">
      <alignment horizontal="center" vertical="center"/>
    </xf>
    <xf numFmtId="3" fontId="30" fillId="8" borderId="2" applyAlignment="1" pivotButton="0" quotePrefix="0" xfId="0">
      <alignment horizontal="center" vertical="center"/>
    </xf>
    <xf numFmtId="0" fontId="25" fillId="25" borderId="6" applyAlignment="1" pivotButton="0" quotePrefix="0" xfId="0">
      <alignment horizontal="center" vertical="center"/>
    </xf>
    <xf numFmtId="0" fontId="26" fillId="25" borderId="6" applyAlignment="1" pivotButton="0" quotePrefix="0" xfId="0">
      <alignment horizontal="left" vertical="center" wrapText="1"/>
    </xf>
    <xf numFmtId="0" fontId="25" fillId="26" borderId="6" applyAlignment="1" pivotButton="0" quotePrefix="0" xfId="0">
      <alignment horizontal="center" vertical="center"/>
    </xf>
    <xf numFmtId="0" fontId="26" fillId="26" borderId="6" applyAlignment="1" pivotButton="0" quotePrefix="0" xfId="0">
      <alignment horizontal="left" vertical="center" wrapText="1"/>
    </xf>
    <xf numFmtId="0" fontId="31" fillId="21" borderId="8" applyAlignment="1" pivotButton="0" quotePrefix="0" xfId="0">
      <alignment horizontal="center" vertical="center"/>
    </xf>
    <xf numFmtId="0" fontId="34" fillId="9" borderId="7" applyAlignment="1" pivotButton="0" quotePrefix="0" xfId="0">
      <alignment horizontal="center" vertical="center"/>
    </xf>
    <xf numFmtId="0" fontId="35" fillId="27" borderId="10" applyAlignment="1" pivotButton="0" quotePrefix="0" xfId="0">
      <alignment horizontal="center" vertical="center" wrapText="1"/>
    </xf>
    <xf numFmtId="0" fontId="36" fillId="27" borderId="10" applyAlignment="1" pivotButton="0" quotePrefix="0" xfId="0">
      <alignment horizontal="center" vertical="center" wrapText="1"/>
    </xf>
    <xf numFmtId="0" fontId="35" fillId="21" borderId="10" applyAlignment="1" pivotButton="0" quotePrefix="0" xfId="0">
      <alignment horizontal="center" vertical="center" wrapText="1"/>
    </xf>
    <xf numFmtId="0" fontId="36" fillId="21" borderId="10" applyAlignment="1" pivotButton="0" quotePrefix="0" xfId="0">
      <alignment horizontal="center" vertical="center" wrapText="1"/>
    </xf>
    <xf numFmtId="0" fontId="4" fillId="28" borderId="7" applyAlignment="1" pivotButton="0" quotePrefix="0" xfId="0">
      <alignment horizontal="center" vertical="center"/>
    </xf>
    <xf numFmtId="0" fontId="6" fillId="29" borderId="11" applyAlignment="1" pivotButton="0" quotePrefix="0" xfId="0">
      <alignment horizontal="center" vertical="center"/>
    </xf>
    <xf numFmtId="0" fontId="6" fillId="21" borderId="11" applyAlignment="1" pivotButton="0" quotePrefix="0" xfId="0">
      <alignment horizontal="center" vertical="center"/>
    </xf>
    <xf numFmtId="0" fontId="37" fillId="21" borderId="11" applyAlignment="1" pivotButton="0" quotePrefix="0" xfId="0">
      <alignment horizontal="center" vertical="center"/>
    </xf>
    <xf numFmtId="0" fontId="38" fillId="13" borderId="0" applyAlignment="1" pivotButton="0" quotePrefix="0" xfId="0">
      <alignment horizontal="center" vertical="center"/>
    </xf>
    <xf numFmtId="0" fontId="6" fillId="19" borderId="2" applyAlignment="1" pivotButton="0" quotePrefix="0" xfId="0">
      <alignment horizontal="left" vertical="center"/>
    </xf>
    <xf numFmtId="3" fontId="39" fillId="30" borderId="12" applyAlignment="1" pivotButton="0" quotePrefix="0" xfId="0">
      <alignment horizontal="center" vertical="center"/>
    </xf>
    <xf numFmtId="0" fontId="40" fillId="19" borderId="2" applyAlignment="1" pivotButton="0" quotePrefix="0" xfId="0">
      <alignment horizontal="center" vertical="center"/>
    </xf>
    <xf numFmtId="0" fontId="41" fillId="19" borderId="2" applyAlignment="1" pivotButton="0" quotePrefix="0" xfId="0">
      <alignment horizontal="left" vertical="center" wrapText="1"/>
    </xf>
    <xf numFmtId="3" fontId="30" fillId="18" borderId="13" applyAlignment="1" pivotButton="0" quotePrefix="0" xfId="0">
      <alignment horizontal="center" vertical="center"/>
    </xf>
    <xf numFmtId="0" fontId="6" fillId="21" borderId="2" applyAlignment="1" pivotButton="0" quotePrefix="0" xfId="0">
      <alignment horizontal="left" vertical="center"/>
    </xf>
    <xf numFmtId="0" fontId="40" fillId="21" borderId="2" applyAlignment="1" pivotButton="0" quotePrefix="0" xfId="0">
      <alignment horizontal="center" vertical="center"/>
    </xf>
    <xf numFmtId="0" fontId="41" fillId="21" borderId="2" applyAlignment="1" pivotButton="0" quotePrefix="0" xfId="0">
      <alignment horizontal="left" vertical="center" wrapText="1"/>
    </xf>
    <xf numFmtId="0" fontId="42" fillId="31" borderId="2" applyAlignment="1" pivotButton="0" quotePrefix="0" xfId="0">
      <alignment horizontal="left" vertical="center"/>
    </xf>
    <xf numFmtId="0" fontId="40" fillId="31" borderId="2" applyAlignment="1" pivotButton="0" quotePrefix="0" xfId="0">
      <alignment horizontal="center" vertical="center"/>
    </xf>
    <xf numFmtId="0" fontId="41" fillId="31" borderId="2" applyAlignment="1" pivotButton="0" quotePrefix="0" xfId="0">
      <alignment horizontal="left" vertical="center" wrapText="1"/>
    </xf>
    <xf numFmtId="0" fontId="43" fillId="19" borderId="2" applyAlignment="1" pivotButton="0" quotePrefix="0" xfId="0">
      <alignment horizontal="center" vertical="center"/>
    </xf>
    <xf numFmtId="0" fontId="44" fillId="32" borderId="14" applyAlignment="1" pivotButton="0" quotePrefix="0" xfId="0">
      <alignment horizontal="center" vertical="center"/>
    </xf>
    <xf numFmtId="3" fontId="44" fillId="32" borderId="14" applyAlignment="1" pivotButton="0" quotePrefix="0" xfId="0">
      <alignment horizontal="center" vertical="center"/>
    </xf>
    <xf numFmtId="0" fontId="3" fillId="20" borderId="15" applyAlignment="1" pivotButton="0" quotePrefix="0" xfId="0">
      <alignment horizontal="center" vertical="center"/>
    </xf>
    <xf numFmtId="3" fontId="3" fillId="20" borderId="15" applyAlignment="1" pivotButton="0" quotePrefix="0" xfId="0">
      <alignment horizontal="center" vertical="center"/>
    </xf>
    <xf numFmtId="0" fontId="45" fillId="33" borderId="2" applyAlignment="1" pivotButton="0" quotePrefix="0" xfId="0">
      <alignment horizontal="center" vertical="center"/>
    </xf>
    <xf numFmtId="3" fontId="46" fillId="33" borderId="2" applyAlignment="1" pivotButton="0" quotePrefix="0" xfId="0">
      <alignment horizontal="center" vertical="center"/>
    </xf>
    <xf numFmtId="0" fontId="6" fillId="33" borderId="2" applyAlignment="1" pivotButton="0" quotePrefix="0" xfId="0">
      <alignment horizontal="left" vertical="center"/>
    </xf>
    <xf numFmtId="0" fontId="47" fillId="34" borderId="2" applyAlignment="1" pivotButton="0" quotePrefix="0" xfId="0">
      <alignment horizontal="center" vertical="center"/>
    </xf>
    <xf numFmtId="3" fontId="12" fillId="34" borderId="2" applyAlignment="1" pivotButton="0" quotePrefix="0" xfId="0">
      <alignment horizontal="center" vertical="center"/>
    </xf>
    <xf numFmtId="0" fontId="6" fillId="34" borderId="2" applyAlignment="1" pivotButton="0" quotePrefix="0" xfId="0">
      <alignment horizontal="left" vertical="center"/>
    </xf>
    <xf numFmtId="0" fontId="48" fillId="35" borderId="2" applyAlignment="1" pivotButton="0" quotePrefix="0" xfId="0">
      <alignment horizontal="center" vertical="center"/>
    </xf>
    <xf numFmtId="3" fontId="49" fillId="35" borderId="2" applyAlignment="1" pivotButton="0" quotePrefix="0" xfId="0">
      <alignment horizontal="center" vertical="center"/>
    </xf>
    <xf numFmtId="0" fontId="6" fillId="35" borderId="2" applyAlignment="1" pivotButton="0" quotePrefix="0" xfId="0">
      <alignment horizontal="left" vertical="center"/>
    </xf>
    <xf numFmtId="0" fontId="50" fillId="36" borderId="2" applyAlignment="1" pivotButton="0" quotePrefix="0" xfId="0">
      <alignment horizontal="center" vertical="center"/>
    </xf>
    <xf numFmtId="3" fontId="51" fillId="36" borderId="2" applyAlignment="1" pivotButton="0" quotePrefix="0" xfId="0">
      <alignment horizontal="center" vertical="center"/>
    </xf>
    <xf numFmtId="0" fontId="6" fillId="36" borderId="2" applyAlignment="1" pivotButton="0" quotePrefix="0" xfId="0">
      <alignment horizontal="left" vertical="center"/>
    </xf>
    <xf numFmtId="0" fontId="52" fillId="4" borderId="2" applyAlignment="1" pivotButton="0" quotePrefix="0" xfId="0">
      <alignment horizontal="center" vertical="center"/>
    </xf>
    <xf numFmtId="3" fontId="53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4" fillId="37" borderId="16" applyAlignment="1" pivotButton="0" quotePrefix="0" xfId="0">
      <alignment horizontal="center" vertical="center"/>
    </xf>
    <xf numFmtId="0" fontId="36" fillId="37" borderId="16" applyAlignment="1" pivotButton="0" quotePrefix="0" xfId="0">
      <alignment horizontal="left" vertical="center" wrapText="1"/>
    </xf>
    <xf numFmtId="0" fontId="55" fillId="37" borderId="16" applyAlignment="1" pivotButton="0" quotePrefix="0" xfId="0">
      <alignment horizontal="left" vertical="center" wrapText="1"/>
    </xf>
    <xf numFmtId="0" fontId="56" fillId="37" borderId="16" applyAlignment="1" pivotButton="0" quotePrefix="0" xfId="0">
      <alignment horizontal="center" vertical="center"/>
    </xf>
    <xf numFmtId="0" fontId="54" fillId="21" borderId="16" applyAlignment="1" pivotButton="0" quotePrefix="0" xfId="0">
      <alignment horizontal="center" vertical="center"/>
    </xf>
    <xf numFmtId="0" fontId="36" fillId="21" borderId="16" applyAlignment="1" pivotButton="0" quotePrefix="0" xfId="0">
      <alignment horizontal="left" vertical="center" wrapText="1"/>
    </xf>
    <xf numFmtId="0" fontId="55" fillId="21" borderId="16" applyAlignment="1" pivotButton="0" quotePrefix="0" xfId="0">
      <alignment horizontal="left" vertical="center" wrapText="1"/>
    </xf>
    <xf numFmtId="0" fontId="56" fillId="21" borderId="16" applyAlignment="1" pivotButton="0" quotePrefix="0" xfId="0">
      <alignment horizontal="center" vertical="center"/>
    </xf>
    <xf numFmtId="0" fontId="57" fillId="2" borderId="0" applyAlignment="1" pivotButton="0" quotePrefix="0" xfId="0">
      <alignment horizontal="center" vertical="center"/>
    </xf>
    <xf numFmtId="0" fontId="58" fillId="38" borderId="0" applyAlignment="1" pivotButton="0" quotePrefix="0" xfId="0">
      <alignment horizontal="center" vertical="center"/>
    </xf>
    <xf numFmtId="0" fontId="28" fillId="16" borderId="8" applyAlignment="1" pivotButton="0" quotePrefix="0" xfId="0">
      <alignment horizontal="left" vertical="center"/>
    </xf>
    <xf numFmtId="0" fontId="6" fillId="16" borderId="8" applyAlignment="1" pivotButton="0" quotePrefix="0" xfId="0">
      <alignment horizontal="left" vertical="center"/>
    </xf>
    <xf numFmtId="0" fontId="28" fillId="21" borderId="8" applyAlignment="1" pivotButton="0" quotePrefix="0" xfId="0">
      <alignment horizontal="left" vertical="center"/>
    </xf>
    <xf numFmtId="0" fontId="6" fillId="21" borderId="8" applyAlignment="1" pivotButton="0" quotePrefix="0" xfId="0">
      <alignment horizontal="left" vertical="center"/>
    </xf>
    <xf numFmtId="0" fontId="31" fillId="21" borderId="8" applyAlignment="1" pivotButton="0" quotePrefix="0" xfId="0">
      <alignment horizontal="left" vertical="center"/>
    </xf>
    <xf numFmtId="0" fontId="59" fillId="21" borderId="8" applyAlignment="1" pivotButton="0" quotePrefix="0" xfId="0">
      <alignment horizontal="left" vertical="center"/>
    </xf>
    <xf numFmtId="0" fontId="59" fillId="21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" customWidth="1" min="11" max="11"/>
  </cols>
  <sheetData>
    <row r="1" ht="50" customHeight="1">
      <c r="B1" s="1" t="inlineStr">
        <is>
          <t>🌏  GPS TOURS × 크루즈 × 상조전환  통합 수익 시뮬레이터</t>
        </is>
      </c>
    </row>
    <row r="2" ht="30" customHeight="1">
      <c r="B2" s="2" t="inlineStr">
        <is>
          <t>오버라이드 수수료 + 직접판매 수수료 통합 ｜ 직급별 월간·연간 수익 분석 ｜ 글로벌 벤치마크 반영</t>
        </is>
      </c>
    </row>
    <row r="3" ht="22" customHeight="1"/>
    <row r="4" ht="22" customHeight="1">
      <c r="B4" s="3" t="inlineStr">
        <is>
          <t>📊  핵심 수익 요약</t>
        </is>
      </c>
    </row>
    <row r="5" ht="22" customHeight="1">
      <c r="B5" s="4" t="inlineStr">
        <is>
          <t>직급</t>
        </is>
      </c>
      <c r="C5" s="4" t="inlineStr">
        <is>
          <t>직급명</t>
        </is>
      </c>
      <c r="D5" s="4" t="inlineStr">
        <is>
          <t>월간 수익 (원)</t>
        </is>
      </c>
      <c r="E5" s="4" t="inlineStr">
        <is>
          <t>연간 수익 (원)</t>
        </is>
      </c>
      <c r="F5" s="4" t="inlineStr">
        <is>
          <t>월 개인판매수익</t>
        </is>
      </c>
      <c r="G5" s="4" t="inlineStr">
        <is>
          <t>오버라이드 수익</t>
        </is>
      </c>
      <c r="H5" s="4" t="inlineStr">
        <is>
          <t>구독료 수익</t>
        </is>
      </c>
      <c r="I5" s="4" t="inlineStr">
        <is>
          <t>구독 등급</t>
        </is>
      </c>
      <c r="J5" s="4" t="inlineStr">
        <is>
          <t>비고</t>
        </is>
      </c>
    </row>
    <row r="6" ht="22" customHeight="1">
      <c r="B6" s="5" t="inlineStr">
        <is>
          <t>L1</t>
        </is>
      </c>
      <c r="C6" s="5" t="inlineStr">
        <is>
          <t>어드바이저</t>
        </is>
      </c>
      <c r="D6" s="6" t="n">
        <v>932400</v>
      </c>
      <c r="E6" s="6" t="n">
        <v>11188800</v>
      </c>
      <c r="F6" s="7" t="n">
        <v>682500</v>
      </c>
      <c r="G6" s="8">
        <f>'🔑 직급별 통합시뮬'.D12</f>
        <v/>
      </c>
      <c r="H6" s="7" t="n">
        <v>9900</v>
      </c>
      <c r="I6" s="9" t="inlineStr">
        <is>
          <t>Basic</t>
        </is>
      </c>
      <c r="J6" s="10" t="inlineStr">
        <is>
          <t>팀 구성 시작</t>
        </is>
      </c>
    </row>
    <row r="7" ht="22" customHeight="1">
      <c r="B7" s="11" t="inlineStr">
        <is>
          <t>L2</t>
        </is>
      </c>
      <c r="C7" s="11" t="inlineStr">
        <is>
          <t>시니어</t>
        </is>
      </c>
      <c r="D7" s="12" t="n">
        <v>2450000</v>
      </c>
      <c r="E7" s="12" t="n">
        <v>29400000</v>
      </c>
      <c r="F7" s="13" t="n">
        <v>2275000</v>
      </c>
      <c r="G7" s="14">
        <f>'🔑 직급별 통합시뮬'.D13</f>
        <v/>
      </c>
      <c r="H7" s="13" t="n">
        <v>9900</v>
      </c>
      <c r="I7" s="15" t="inlineStr">
        <is>
          <t>Basic</t>
        </is>
      </c>
      <c r="J7" s="16" t="inlineStr">
        <is>
          <t>팀 성과 배가</t>
        </is>
      </c>
    </row>
    <row r="8" ht="22" customHeight="1">
      <c r="B8" s="17" t="inlineStr">
        <is>
          <t>L3</t>
        </is>
      </c>
      <c r="C8" s="17" t="inlineStr">
        <is>
          <t>매니저</t>
        </is>
      </c>
      <c r="D8" s="18" t="n">
        <v>4850000</v>
      </c>
      <c r="E8" s="18" t="n">
        <v>58200000</v>
      </c>
      <c r="F8" s="19" t="n">
        <v>9100000</v>
      </c>
      <c r="G8" s="20">
        <f>'🔑 직급별 통합시뮬'.D14</f>
        <v/>
      </c>
      <c r="H8" s="19" t="n">
        <v>33000</v>
      </c>
      <c r="I8" s="21" t="inlineStr">
        <is>
          <t>Pro</t>
        </is>
      </c>
      <c r="J8" s="22" t="inlineStr">
        <is>
          <t>조직 자동화 시작</t>
        </is>
      </c>
    </row>
    <row r="9" ht="22" customHeight="1">
      <c r="B9" s="23" t="inlineStr">
        <is>
          <t>L4</t>
        </is>
      </c>
      <c r="C9" s="23" t="inlineStr">
        <is>
          <t>디렉터</t>
        </is>
      </c>
      <c r="D9" s="24" t="n">
        <v>25056000</v>
      </c>
      <c r="E9" s="24" t="n">
        <v>300672000</v>
      </c>
      <c r="F9" s="25" t="n">
        <v>22750000</v>
      </c>
      <c r="G9" s="26">
        <f>'🔑 직급별 통합시뮬'.D15</f>
        <v/>
      </c>
      <c r="H9" s="25" t="n">
        <v>33000</v>
      </c>
      <c r="I9" s="27" t="inlineStr">
        <is>
          <t>Pro</t>
        </is>
      </c>
      <c r="J9" s="28" t="inlineStr">
        <is>
          <t>반자동 수입</t>
        </is>
      </c>
    </row>
    <row r="10" ht="22" customHeight="1">
      <c r="B10" s="29" t="inlineStr">
        <is>
          <t>L5</t>
        </is>
      </c>
      <c r="C10" s="29" t="inlineStr">
        <is>
          <t>VP</t>
        </is>
      </c>
      <c r="D10" s="30" t="n">
        <v>98313000</v>
      </c>
      <c r="E10" s="30" t="n">
        <v>1179756000</v>
      </c>
      <c r="F10" s="31" t="n">
        <v>91000000</v>
      </c>
      <c r="G10" s="32">
        <f>'🔑 직급별 통합시뮬'.D16</f>
        <v/>
      </c>
      <c r="H10" s="31" t="n">
        <v>33000</v>
      </c>
      <c r="I10" s="33" t="inlineStr">
        <is>
          <t>Pro</t>
        </is>
      </c>
      <c r="J10" s="34" t="inlineStr">
        <is>
          <t>완전 연금형 수입</t>
        </is>
      </c>
    </row>
    <row r="11" ht="22" customHeight="1"/>
    <row r="12" ht="22" customHeight="1"/>
    <row r="13" ht="22" customHeight="1">
      <c r="B13" s="35" t="inlineStr">
        <is>
          <t>🌏  글로벌 벤치마크 — 해외 유사 모델 영업사원 연간 수입</t>
        </is>
      </c>
    </row>
    <row r="14" ht="22" customHeight="1">
      <c r="B14" s="36" t="inlineStr">
        <is>
          <t>국가</t>
        </is>
      </c>
      <c r="C14" s="36" t="inlineStr">
        <is>
          <t>모델</t>
        </is>
      </c>
      <c r="D14" s="36" t="inlineStr">
        <is>
          <t>플랫폼</t>
        </is>
      </c>
      <c r="E14" s="36" t="inlineStr">
        <is>
          <t>영업사원 평균 연수입</t>
        </is>
      </c>
      <c r="F14" s="36" t="inlineStr">
        <is>
          <t>YoY 성장률</t>
        </is>
      </c>
      <c r="G14" s="36" t="inlineStr">
        <is>
          <t>핵심 특징</t>
        </is>
      </c>
      <c r="H14" s="36" t="inlineStr">
        <is>
          <t>한국 적용 시사점</t>
        </is>
      </c>
    </row>
    <row r="15" ht="22" customHeight="1">
      <c r="B15" s="37" t="inlineStr">
        <is>
          <t>🇺🇸 미국</t>
        </is>
      </c>
      <c r="C15" s="37" t="inlineStr">
        <is>
          <t>크루즈 제휴</t>
        </is>
      </c>
      <c r="D15" s="37" t="inlineStr">
        <is>
          <t>Viator × RCCL</t>
        </is>
      </c>
      <c r="E15" s="37" t="inlineStr">
        <is>
          <t>₩97,750,000 (USD 85K)</t>
        </is>
      </c>
      <c r="F15" s="37" t="inlineStr">
        <is>
          <t>12%</t>
        </is>
      </c>
      <c r="G15" s="37" t="inlineStr">
        <is>
          <t>상조연계 전환율 28%</t>
        </is>
      </c>
      <c r="H15" s="37" t="inlineStr">
        <is>
          <t>×0.6 적용 시 ₩58.7M/년</t>
        </is>
      </c>
    </row>
    <row r="16" ht="22" customHeight="1">
      <c r="B16" s="38" t="inlineStr">
        <is>
          <t>🇯🇵 일본</t>
        </is>
      </c>
      <c r="C16" s="38" t="inlineStr">
        <is>
          <t>생협×여행</t>
        </is>
      </c>
      <c r="D16" s="38" t="inlineStr">
        <is>
          <t>JTB Partner</t>
        </is>
      </c>
      <c r="E16" s="38" t="inlineStr">
        <is>
          <t>₩61,200,000 (¥6.8M)</t>
        </is>
      </c>
      <c r="F16" s="38" t="inlineStr">
        <is>
          <t>8%</t>
        </is>
      </c>
      <c r="G16" s="38" t="inlineStr">
        <is>
          <t>회원 LTV 3배 상승</t>
        </is>
      </c>
      <c r="H16" s="38" t="inlineStr">
        <is>
          <t>상조전환 최적 모델</t>
        </is>
      </c>
    </row>
    <row r="17" ht="22" customHeight="1">
      <c r="B17" s="37" t="inlineStr">
        <is>
          <t>🇩🇪 독일</t>
        </is>
      </c>
      <c r="C17" s="37" t="inlineStr">
        <is>
          <t>클럽형 제휴</t>
        </is>
      </c>
      <c r="D17" s="37" t="inlineStr">
        <is>
          <t>ADAC Travel</t>
        </is>
      </c>
      <c r="E17" s="37" t="inlineStr">
        <is>
          <t>₩93,600,000 (€65K)</t>
        </is>
      </c>
      <c r="F17" s="37" t="inlineStr">
        <is>
          <t>9%</t>
        </is>
      </c>
      <c r="G17" s="37" t="inlineStr">
        <is>
          <t>120만 회원 네트워크</t>
        </is>
      </c>
      <c r="H17" s="37" t="inlineStr">
        <is>
          <t>협회모델 도입 가능</t>
        </is>
      </c>
    </row>
    <row r="18" ht="22" customHeight="1">
      <c r="B18" s="38" t="inlineStr">
        <is>
          <t>🇦🇺 호주</t>
        </is>
      </c>
      <c r="C18" s="38" t="inlineStr">
        <is>
          <t>보험×크루즈</t>
        </is>
      </c>
      <c r="D18" s="38" t="inlineStr">
        <is>
          <t>Cover-More</t>
        </is>
      </c>
      <c r="E18" s="38" t="inlineStr">
        <is>
          <t>₩64,800,000 (AUD 72K)</t>
        </is>
      </c>
      <c r="F18" s="38" t="inlineStr">
        <is>
          <t>14%</t>
        </is>
      </c>
      <c r="G18" s="38" t="inlineStr">
        <is>
          <t>크루즈 전환율 34%</t>
        </is>
      </c>
      <c r="H18" s="38" t="inlineStr">
        <is>
          <t>★ 한국 도입 최적 모델</t>
        </is>
      </c>
    </row>
    <row r="19" ht="22" customHeight="1">
      <c r="B19" s="37" t="inlineStr">
        <is>
          <t>🇸🇬 싱가포르</t>
        </is>
      </c>
      <c r="C19" s="37" t="inlineStr">
        <is>
          <t>럭셔리크루즈</t>
        </is>
      </c>
      <c r="D19" s="37" t="inlineStr">
        <is>
          <t>Genting × Agency</t>
        </is>
      </c>
      <c r="E19" s="37" t="inlineStr">
        <is>
          <t>₩85,500,000 (SGD 95K)</t>
        </is>
      </c>
      <c r="F19" s="37" t="inlineStr">
        <is>
          <t>18%</t>
        </is>
      </c>
      <c r="G19" s="37" t="inlineStr">
        <is>
          <t>아시아 허브 선점</t>
        </is>
      </c>
      <c r="H19" s="37" t="inlineStr">
        <is>
          <t>아시아 시장 선점 전략</t>
        </is>
      </c>
    </row>
    <row r="20" ht="22" customHeight="1"/>
    <row r="21" ht="22" customHeight="1">
      <c r="B21" s="39" t="inlineStr">
        <is>
          <t>💡  "일하지 않아도 조직이 벌어다 주는 구조 — L3 이상부터 오버라이드 수익으로 연금형 수입 실현"</t>
        </is>
      </c>
    </row>
    <row r="22" ht="22" customHeight="1">
      <c r="B22" s="40" t="inlineStr">
        <is>
          <t>★ 한국 상조시장 납입잔액 ₩8.5조원 × 전환가능 82% = ₩6.97조원 영업 기회   |   크루즈 시장 CAGR 10.3% (2023→2030, $25.8B→$51.5B)</t>
        </is>
      </c>
    </row>
    <row r="23" ht="22" customHeight="1"/>
    <row r="24" ht="22" customHeight="1">
      <c r="B24" s="41" t="inlineStr">
        <is>
          <t>📋  시트 구성 안내</t>
        </is>
      </c>
    </row>
    <row r="25" ht="22" customHeight="1">
      <c r="B25" s="42" t="inlineStr">
        <is>
          <t>시트명</t>
        </is>
      </c>
      <c r="C25" s="42" t="inlineStr">
        <is>
          <t>설명</t>
        </is>
      </c>
    </row>
    <row r="26" ht="22" customHeight="1">
      <c r="B26" s="43" t="inlineStr">
        <is>
          <t>🏠 대시보드</t>
        </is>
      </c>
      <c r="C26" s="44" t="inlineStr">
        <is>
          <t>현재 시트 — 전체 요약</t>
        </is>
      </c>
    </row>
    <row r="27" ht="22" customHeight="1">
      <c r="B27" s="45" t="inlineStr">
        <is>
          <t>🔑 직급별 통합시뮬</t>
        </is>
      </c>
      <c r="C27" s="46" t="inlineStr">
        <is>
          <t>직급별 오버라이드+직접판매 월간·연간 통합 시뮬레이션</t>
        </is>
      </c>
    </row>
    <row r="28" ht="22" customHeight="1">
      <c r="B28" s="43" t="inlineStr">
        <is>
          <t>💰 개인판매 수익</t>
        </is>
      </c>
      <c r="C28" s="44" t="inlineStr">
        <is>
          <t>크루즈·플랫폼·상조 직접 판매 수수료 상세</t>
        </is>
      </c>
    </row>
    <row r="29" ht="22" customHeight="1">
      <c r="B29" s="45" t="inlineStr">
        <is>
          <t>🏗️ 오버라이드 구조</t>
        </is>
      </c>
      <c r="C29" s="46" t="inlineStr">
        <is>
          <t>팀 오버라이드 수수료 및 조직 연금 구조 분석</t>
        </is>
      </c>
    </row>
    <row r="30" ht="22" customHeight="1">
      <c r="B30" s="43" t="inlineStr">
        <is>
          <t>🌏 글로벌 벤치마크</t>
        </is>
      </c>
      <c r="C30" s="44" t="inlineStr">
        <is>
          <t>해외 유사모델 수익 비교 및 한국 시장 적용</t>
        </is>
      </c>
    </row>
    <row r="31" ht="22" customHeight="1">
      <c r="B31" s="45" t="inlineStr">
        <is>
          <t>🎯 나만의 시뮬레이터</t>
        </is>
      </c>
      <c r="C31" s="46" t="inlineStr">
        <is>
          <t>개인 목표 설정 → 수익 자동 계산</t>
        </is>
      </c>
    </row>
    <row r="32" ht="22" customHeight="1">
      <c r="B32" s="43" t="inlineStr">
        <is>
          <t>📣 시장전망 &amp; 전략</t>
        </is>
      </c>
      <c r="C32" s="44" t="inlineStr">
        <is>
          <t>크루즈 시장 전망 및 마케팅 전략</t>
        </is>
      </c>
    </row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5">
    <mergeCell ref="C26:J26"/>
    <mergeCell ref="B24:J24"/>
    <mergeCell ref="C29:J29"/>
    <mergeCell ref="C30:J30"/>
    <mergeCell ref="B22:J22"/>
    <mergeCell ref="C25:J25"/>
    <mergeCell ref="C32:J32"/>
    <mergeCell ref="C31:J31"/>
    <mergeCell ref="B1:J1"/>
    <mergeCell ref="C28:J28"/>
    <mergeCell ref="C27:J27"/>
    <mergeCell ref="B4:J4"/>
    <mergeCell ref="B13:J13"/>
    <mergeCell ref="B21:J2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2" customWidth="1" min="12" max="12"/>
  </cols>
  <sheetData>
    <row r="1" ht="45" customHeight="1">
      <c r="B1" s="47" t="inlineStr">
        <is>
          <t>🔑  직급별 통합 수익 시뮬레이션  (오버라이드 + 직접판매 + 구독료 수익 완전 통합)</t>
        </is>
      </c>
    </row>
    <row r="2" ht="25" customHeight="1">
      <c r="B2" s="48" t="inlineStr">
        <is>
          <t>■ 파란색 셀 = 입력값 (수정 가능)   ■ 검정색 셀 = 자동 계산   ■ 초록색 = 타 시트 연결</t>
        </is>
      </c>
    </row>
    <row r="4">
      <c r="B4" s="49" t="inlineStr">
        <is>
          <t>⚙️  핵심 가정 (Assumptions) — 파란색 셀을 수정하면 전체 시뮬레이션이 자동 변경됩니다</t>
        </is>
      </c>
    </row>
    <row r="5">
      <c r="B5" s="50" t="inlineStr">
        <is>
          <t>제휴 수수료율(GetYourGuide)</t>
        </is>
      </c>
      <c r="C5" s="51" t="n">
        <v>0.07000000000000001</v>
      </c>
      <c r="D5" s="52" t="inlineStr"/>
      <c r="E5" s="50" t="inlineStr">
        <is>
          <t>제휴 수수료율(Trip.com)</t>
        </is>
      </c>
      <c r="F5" s="51" t="n">
        <v>0.05</v>
      </c>
      <c r="G5" s="52" t="inlineStr"/>
      <c r="H5" s="50" t="inlineStr">
        <is>
          <t>Basic 구독료(월)</t>
        </is>
      </c>
      <c r="I5" s="53" t="n">
        <v>9900</v>
      </c>
      <c r="J5" s="52" t="inlineStr"/>
      <c r="K5" s="50" t="inlineStr">
        <is>
          <t>Pro 구독료(월)</t>
        </is>
      </c>
      <c r="L5" s="53" t="n">
        <v>33000</v>
      </c>
      <c r="M5" s="52" t="inlineStr"/>
    </row>
    <row r="6">
      <c r="B6" s="50" t="inlineStr">
        <is>
          <t>오버라이드 배분율(Sales Pool)</t>
        </is>
      </c>
      <c r="C6" s="51" t="n">
        <v>0.045</v>
      </c>
      <c r="D6" s="52" t="inlineStr"/>
      <c r="E6" s="50" t="inlineStr">
        <is>
          <t>운영비율(OpEx)</t>
        </is>
      </c>
      <c r="F6" s="51" t="n">
        <v>0.2</v>
      </c>
      <c r="G6" s="52" t="inlineStr"/>
      <c r="H6" s="50" t="inlineStr">
        <is>
          <t>상조 전환금 비율</t>
        </is>
      </c>
      <c r="I6" s="51" t="n">
        <v>0.82</v>
      </c>
      <c r="J6" s="52" t="inlineStr"/>
      <c r="K6" s="50" t="inlineStr">
        <is>
          <t>상조 수수료율</t>
        </is>
      </c>
      <c r="L6" s="51" t="n">
        <v>0.08</v>
      </c>
      <c r="M6" s="52" t="inlineStr"/>
    </row>
    <row r="8">
      <c r="B8" s="49" t="inlineStr">
        <is>
          <t>📊  직급별 월간 통합 수익 시뮬레이션</t>
        </is>
      </c>
    </row>
    <row r="9" ht="35" customHeight="1">
      <c r="B9" s="54" t="inlineStr">
        <is>
          <t>직급</t>
        </is>
      </c>
      <c r="C9" s="54" t="inlineStr">
        <is>
          <t>직급명</t>
        </is>
      </c>
      <c r="D9" s="54" t="inlineStr">
        <is>
          <t>개인 판매액
(원)</t>
        </is>
      </c>
      <c r="E9" s="54" t="inlineStr">
        <is>
          <t>직접판매
수수료 (원)</t>
        </is>
      </c>
      <c r="F9" s="54" t="inlineStr">
        <is>
          <t>팀 오버라이드
수수료 (원)</t>
        </is>
      </c>
      <c r="G9" s="54" t="inlineStr">
        <is>
          <t>구독료
수익 (원)</t>
        </is>
      </c>
      <c r="H9" s="54" t="inlineStr">
        <is>
          <t>월간 총수익
(원)</t>
        </is>
      </c>
      <c r="I9" s="54" t="inlineStr">
        <is>
          <t>연간 총수익
(원)</t>
        </is>
      </c>
      <c r="J9" s="54" t="inlineStr">
        <is>
          <t>구독 플랜</t>
        </is>
      </c>
      <c r="K9" s="54" t="inlineStr">
        <is>
          <t>비고</t>
        </is>
      </c>
    </row>
    <row r="10" ht="24" customHeight="1">
      <c r="B10" s="5" t="inlineStr">
        <is>
          <t>L1</t>
        </is>
      </c>
      <c r="C10" s="5" t="inlineStr">
        <is>
          <t>어드바이저</t>
        </is>
      </c>
      <c r="D10" s="55" t="n">
        <v>15000000</v>
      </c>
      <c r="E10" s="56" t="n">
        <v>682500</v>
      </c>
      <c r="F10" s="57" t="n">
        <v>240000</v>
      </c>
      <c r="G10" s="56" t="n">
        <v>9900</v>
      </c>
      <c r="H10" s="58">
        <f>E10+F10+G10</f>
        <v/>
      </c>
      <c r="I10" s="58">
        <f>H10*12</f>
        <v/>
      </c>
      <c r="J10" s="9" t="inlineStr">
        <is>
          <t>Basic</t>
        </is>
      </c>
      <c r="K10" s="10" t="inlineStr">
        <is>
          <t>팀 구성 시작</t>
        </is>
      </c>
    </row>
    <row r="11" ht="24" customHeight="1">
      <c r="B11" s="11" t="inlineStr">
        <is>
          <t>L2</t>
        </is>
      </c>
      <c r="C11" s="11" t="inlineStr">
        <is>
          <t>시니어</t>
        </is>
      </c>
      <c r="D11" s="59" t="n">
        <v>50000000</v>
      </c>
      <c r="E11" s="60" t="n">
        <v>2275000</v>
      </c>
      <c r="F11" s="61" t="n">
        <v>330000</v>
      </c>
      <c r="G11" s="60" t="n">
        <v>9900</v>
      </c>
      <c r="H11" s="62">
        <f>E11+F11+G11</f>
        <v/>
      </c>
      <c r="I11" s="62">
        <f>H11*12</f>
        <v/>
      </c>
      <c r="J11" s="15" t="inlineStr">
        <is>
          <t>Basic</t>
        </is>
      </c>
      <c r="K11" s="16" t="inlineStr">
        <is>
          <t>소규모 팀 배당</t>
        </is>
      </c>
    </row>
    <row r="12" ht="24" customHeight="1">
      <c r="B12" s="17" t="inlineStr">
        <is>
          <t>L3</t>
        </is>
      </c>
      <c r="C12" s="17" t="inlineStr">
        <is>
          <t>매니저</t>
        </is>
      </c>
      <c r="D12" s="63" t="n">
        <v>200000000</v>
      </c>
      <c r="E12" s="64" t="n">
        <v>9100000</v>
      </c>
      <c r="F12" s="65" t="n">
        <v>875000</v>
      </c>
      <c r="G12" s="64" t="n">
        <v>33000</v>
      </c>
      <c r="H12" s="66">
        <f>E12+F12+G12</f>
        <v/>
      </c>
      <c r="I12" s="66">
        <f>H12*12</f>
        <v/>
      </c>
      <c r="J12" s="21" t="inlineStr">
        <is>
          <t>Pro</t>
        </is>
      </c>
      <c r="K12" s="22" t="inlineStr">
        <is>
          <t>조직 자동화</t>
        </is>
      </c>
    </row>
    <row r="13" ht="24" customHeight="1">
      <c r="B13" s="23" t="inlineStr">
        <is>
          <t>L4</t>
        </is>
      </c>
      <c r="C13" s="23" t="inlineStr">
        <is>
          <t>디렉터</t>
        </is>
      </c>
      <c r="D13" s="67" t="n">
        <v>500000000</v>
      </c>
      <c r="E13" s="68" t="n">
        <v>22750000</v>
      </c>
      <c r="F13" s="69" t="n">
        <v>2273000</v>
      </c>
      <c r="G13" s="68" t="n">
        <v>33000</v>
      </c>
      <c r="H13" s="70">
        <f>E13+F13+G13</f>
        <v/>
      </c>
      <c r="I13" s="70">
        <f>H13*12</f>
        <v/>
      </c>
      <c r="J13" s="27" t="inlineStr">
        <is>
          <t>Pro</t>
        </is>
      </c>
      <c r="K13" s="28" t="inlineStr">
        <is>
          <t>반자동 수입</t>
        </is>
      </c>
    </row>
    <row r="14" ht="24" customHeight="1">
      <c r="B14" s="29" t="inlineStr">
        <is>
          <t>L5</t>
        </is>
      </c>
      <c r="C14" s="29" t="inlineStr">
        <is>
          <t>VP</t>
        </is>
      </c>
      <c r="D14" s="71" t="n">
        <v>2000000000</v>
      </c>
      <c r="E14" s="72" t="n">
        <v>91000000</v>
      </c>
      <c r="F14" s="73" t="n">
        <v>7280000</v>
      </c>
      <c r="G14" s="72" t="n">
        <v>33000</v>
      </c>
      <c r="H14" s="74">
        <f>E14+F14+G14</f>
        <v/>
      </c>
      <c r="I14" s="74">
        <f>H14*12</f>
        <v/>
      </c>
      <c r="J14" s="33" t="inlineStr">
        <is>
          <t>Pro</t>
        </is>
      </c>
      <c r="K14" s="34" t="inlineStr">
        <is>
          <t>★ 연금형 수입</t>
        </is>
      </c>
    </row>
    <row r="16">
      <c r="B16" s="75" t="inlineStr">
        <is>
          <t>💎  오버라이드 수익의 힘 — 일하지 않아도 조직이 수익을 만듭니다</t>
        </is>
      </c>
    </row>
    <row r="17" ht="28" customHeight="1">
      <c r="B17" s="76" t="inlineStr">
        <is>
          <t>● L3 매니저 이상</t>
        </is>
      </c>
      <c r="C17" s="77" t="inlineStr">
        <is>
          <t>팀원들의 판매액에서 자동으로 오버라이드 수수료 배분 → 본인 영업 없이도 월 수십만 ~ 수백만원 자동 수입</t>
        </is>
      </c>
    </row>
    <row r="18" ht="28" customHeight="1">
      <c r="B18" s="78" t="inlineStr">
        <is>
          <t>● L4 디렉터</t>
        </is>
      </c>
      <c r="C18" s="79" t="inlineStr">
        <is>
          <t>3단계 이상 조직이 형성되면 월 200만원+ 오버라이드 → 연간 2,400만원 이상의 "조직 연금" 실현</t>
        </is>
      </c>
    </row>
    <row r="19" ht="28" customHeight="1">
      <c r="B19" s="76" t="inlineStr">
        <is>
          <t>● L5 VP</t>
        </is>
      </c>
      <c r="C19" s="77" t="inlineStr">
        <is>
          <t>전국 단위 조직(200명+)이 구성되면 월 700만원+ 오버라이드 → 연간 8,700만원의 완전 불로소득 구조</t>
        </is>
      </c>
    </row>
    <row r="20" ht="28" customHeight="1">
      <c r="B20" s="78" t="inlineStr">
        <is>
          <t>● 글로벌 사례</t>
        </is>
      </c>
      <c r="C20" s="79" t="inlineStr">
        <is>
          <t>🇦🇺 호주 Cover-More: 크루즈 전환 고객 LTV 2.7배 | 🇩🇪 독일 ADAC: 영업사원 평균 €65,000/년</t>
        </is>
      </c>
    </row>
  </sheetData>
  <mergeCells count="9">
    <mergeCell ref="B1:K1"/>
    <mergeCell ref="B8:K8"/>
    <mergeCell ref="B4:K4"/>
    <mergeCell ref="C19:K19"/>
    <mergeCell ref="C18:K18"/>
    <mergeCell ref="B2:K2"/>
    <mergeCell ref="C17:K17"/>
    <mergeCell ref="B16:K16"/>
    <mergeCell ref="C20:K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" customWidth="1" min="10" max="10"/>
  </cols>
  <sheetData>
    <row r="1" ht="45" customHeight="1">
      <c r="B1" s="80" t="inlineStr">
        <is>
          <t>💰  개인 직접판매 수수료 상세  (크루즈 × 플랫폼 제휴 × 상조전환 통합)</t>
        </is>
      </c>
    </row>
    <row r="3">
      <c r="B3" s="49" t="inlineStr">
        <is>
          <t>🚢  크루즈 패키지 수익 구조</t>
        </is>
      </c>
    </row>
    <row r="4">
      <c r="B4" s="81" t="inlineStr">
        <is>
          <t>상품명</t>
        </is>
      </c>
      <c r="C4" s="81" t="inlineStr">
        <is>
          <t>판매가(원)</t>
        </is>
      </c>
      <c r="D4" s="81" t="inlineStr">
        <is>
          <t>기본수수료율</t>
        </is>
      </c>
      <c r="E4" s="81" t="inlineStr">
        <is>
          <t>기본수수료(원)</t>
        </is>
      </c>
      <c r="F4" s="81" t="inlineStr">
        <is>
          <t>상조보너스(+2%)</t>
        </is>
      </c>
      <c r="G4" s="81" t="inlineStr">
        <is>
          <t>건당 합계(원)</t>
        </is>
      </c>
      <c r="H4" s="81" t="inlineStr">
        <is>
          <t>월10건 수익</t>
        </is>
      </c>
      <c r="I4" s="81" t="inlineStr">
        <is>
          <t>월20건 수익</t>
        </is>
      </c>
    </row>
    <row r="5">
      <c r="B5" s="82" t="inlineStr">
        <is>
          <t>크루즈 4박 기본</t>
        </is>
      </c>
      <c r="C5" s="83" t="n">
        <v>400000</v>
      </c>
      <c r="D5" s="84" t="n">
        <v>0.08</v>
      </c>
      <c r="E5" s="85">
        <f>C6*D6</f>
        <v/>
      </c>
      <c r="F5" s="85">
        <f>C6*0.02</f>
        <v/>
      </c>
      <c r="G5" s="86">
        <f>D6+E6</f>
        <v/>
      </c>
      <c r="H5" s="86">
        <f>F6*10</f>
        <v/>
      </c>
      <c r="I5" s="86">
        <f>F6*20</f>
        <v/>
      </c>
    </row>
    <row r="6">
      <c r="B6" s="87" t="inlineStr">
        <is>
          <t>크루즈 4박 프리미엄</t>
        </is>
      </c>
      <c r="C6" s="88" t="n">
        <v>480000</v>
      </c>
      <c r="D6" s="89" t="n">
        <v>0.08</v>
      </c>
      <c r="E6" s="90">
        <f>C7*D7</f>
        <v/>
      </c>
      <c r="F6" s="90">
        <f>C7*0.02</f>
        <v/>
      </c>
      <c r="G6" s="91">
        <f>D7+E7</f>
        <v/>
      </c>
      <c r="H6" s="91">
        <f>F7*10</f>
        <v/>
      </c>
      <c r="I6" s="91">
        <f>F7*20</f>
        <v/>
      </c>
    </row>
    <row r="7">
      <c r="B7" s="82" t="inlineStr">
        <is>
          <t>크루즈 8박 기본</t>
        </is>
      </c>
      <c r="C7" s="83" t="n">
        <v>800000</v>
      </c>
      <c r="D7" s="84" t="n">
        <v>0.08</v>
      </c>
      <c r="E7" s="85">
        <f>C8*D8</f>
        <v/>
      </c>
      <c r="F7" s="85">
        <f>C8*0.02</f>
        <v/>
      </c>
      <c r="G7" s="86">
        <f>D8+E8</f>
        <v/>
      </c>
      <c r="H7" s="86">
        <f>F8*10</f>
        <v/>
      </c>
      <c r="I7" s="86">
        <f>F8*20</f>
        <v/>
      </c>
    </row>
    <row r="8">
      <c r="B8" s="87" t="inlineStr">
        <is>
          <t>크루즈 8박 프리미엄</t>
        </is>
      </c>
      <c r="C8" s="88" t="n">
        <v>960000</v>
      </c>
      <c r="D8" s="89" t="n">
        <v>0.08</v>
      </c>
      <c r="E8" s="90">
        <f>C9*D9</f>
        <v/>
      </c>
      <c r="F8" s="90">
        <f>C9*0.02</f>
        <v/>
      </c>
      <c r="G8" s="91">
        <f>D9+E9</f>
        <v/>
      </c>
      <c r="H8" s="91">
        <f>F9*10</f>
        <v/>
      </c>
      <c r="I8" s="91">
        <f>F9*20</f>
        <v/>
      </c>
    </row>
    <row r="9">
      <c r="B9" s="92" t="inlineStr">
        <is>
          <t>크루즈 8박 럭셔리</t>
        </is>
      </c>
      <c r="C9" s="83" t="n">
        <v>1400000</v>
      </c>
      <c r="D9" s="84" t="n">
        <v>0.1</v>
      </c>
      <c r="E9" s="85">
        <f>C10*D10</f>
        <v/>
      </c>
      <c r="F9" s="85">
        <f>C10*0.03</f>
        <v/>
      </c>
      <c r="G9" s="86">
        <f>D10+E10</f>
        <v/>
      </c>
      <c r="H9" s="86">
        <f>F10*10</f>
        <v/>
      </c>
      <c r="I9" s="86">
        <f>F10*20</f>
        <v/>
      </c>
    </row>
    <row r="13">
      <c r="B13" s="49" t="inlineStr">
        <is>
          <t>🌐  플랫폼 제휴 수수료 구조</t>
        </is>
      </c>
    </row>
    <row r="14">
      <c r="B14" s="93" t="inlineStr">
        <is>
          <t>플랫폼</t>
        </is>
      </c>
      <c r="C14" s="93" t="inlineStr">
        <is>
          <t>카테고리</t>
        </is>
      </c>
      <c r="D14" s="93" t="inlineStr">
        <is>
          <t>수수료(최저)</t>
        </is>
      </c>
      <c r="E14" s="93" t="inlineStr">
        <is>
          <t>수수료(최고)</t>
        </is>
      </c>
      <c r="F14" s="93" t="inlineStr">
        <is>
          <t>평균 객단가</t>
        </is>
      </c>
      <c r="G14" s="93" t="inlineStr">
        <is>
          <t>건당 최저수익</t>
        </is>
      </c>
      <c r="H14" s="93" t="inlineStr">
        <is>
          <t>건당 최고수익</t>
        </is>
      </c>
      <c r="I14" s="93" t="inlineStr">
        <is>
          <t>월30건 최고수익</t>
        </is>
      </c>
    </row>
    <row r="15">
      <c r="B15" s="94" t="inlineStr">
        <is>
          <t>마이리얼트립</t>
        </is>
      </c>
      <c r="C15" s="95" t="inlineStr">
        <is>
          <t>투어/액티비티</t>
        </is>
      </c>
      <c r="D15" s="84" t="n">
        <v>0.08</v>
      </c>
      <c r="E15" s="84" t="n">
        <v>0.15</v>
      </c>
      <c r="F15" s="83" t="n">
        <v>150000</v>
      </c>
      <c r="G15" s="85">
        <f>D16*F16</f>
        <v/>
      </c>
      <c r="H15" s="85">
        <f>E16*F16</f>
        <v/>
      </c>
      <c r="I15" s="86">
        <f>G16*30</f>
        <v/>
      </c>
    </row>
    <row r="16">
      <c r="B16" s="96" t="inlineStr">
        <is>
          <t>마이리얼트립</t>
        </is>
      </c>
      <c r="C16" s="97" t="inlineStr">
        <is>
          <t>숙박</t>
        </is>
      </c>
      <c r="D16" s="89" t="n">
        <v>0.05</v>
      </c>
      <c r="E16" s="89" t="n">
        <v>0.1</v>
      </c>
      <c r="F16" s="88" t="n">
        <v>200000</v>
      </c>
      <c r="G16" s="90">
        <f>D17*F17</f>
        <v/>
      </c>
      <c r="H16" s="90">
        <f>E17*F17</f>
        <v/>
      </c>
      <c r="I16" s="91">
        <f>G17*30</f>
        <v/>
      </c>
    </row>
    <row r="17">
      <c r="B17" s="94" t="inlineStr">
        <is>
          <t>아고다(Agoda)</t>
        </is>
      </c>
      <c r="C17" s="95" t="inlineStr">
        <is>
          <t>호텔</t>
        </is>
      </c>
      <c r="D17" s="84" t="n">
        <v>0.04</v>
      </c>
      <c r="E17" s="84" t="n">
        <v>0.08</v>
      </c>
      <c r="F17" s="83" t="n">
        <v>300000</v>
      </c>
      <c r="G17" s="85">
        <f>D18*F18</f>
        <v/>
      </c>
      <c r="H17" s="85">
        <f>E18*F18</f>
        <v/>
      </c>
      <c r="I17" s="86">
        <f>G18*30</f>
        <v/>
      </c>
    </row>
    <row r="18">
      <c r="B18" s="96" t="inlineStr">
        <is>
          <t>아고다(Agoda)</t>
        </is>
      </c>
      <c r="C18" s="97" t="inlineStr">
        <is>
          <t>패키지</t>
        </is>
      </c>
      <c r="D18" s="89" t="n">
        <v>0.05</v>
      </c>
      <c r="E18" s="89" t="n">
        <v>0.09</v>
      </c>
      <c r="F18" s="88" t="n">
        <v>500000</v>
      </c>
      <c r="G18" s="90">
        <f>D19*F19</f>
        <v/>
      </c>
      <c r="H18" s="90">
        <f>E19*F19</f>
        <v/>
      </c>
      <c r="I18" s="91">
        <f>G19*30</f>
        <v/>
      </c>
    </row>
    <row r="19">
      <c r="B19" s="94" t="inlineStr">
        <is>
          <t>Viator</t>
        </is>
      </c>
      <c r="C19" s="95" t="inlineStr">
        <is>
          <t>투어/액티비티</t>
        </is>
      </c>
      <c r="D19" s="84" t="n">
        <v>0.08</v>
      </c>
      <c r="E19" s="84" t="n">
        <v>0.12</v>
      </c>
      <c r="F19" s="83" t="n">
        <v>200000</v>
      </c>
      <c r="G19" s="85">
        <f>D20*F20</f>
        <v/>
      </c>
      <c r="H19" s="85">
        <f>E20*F20</f>
        <v/>
      </c>
      <c r="I19" s="86">
        <f>G20*30</f>
        <v/>
      </c>
    </row>
    <row r="20">
      <c r="B20" s="96" t="inlineStr">
        <is>
          <t>Viator</t>
        </is>
      </c>
      <c r="C20" s="97" t="inlineStr">
        <is>
          <t>크루즈 액티비티 ★</t>
        </is>
      </c>
      <c r="D20" s="89" t="n">
        <v>0.1</v>
      </c>
      <c r="E20" s="89" t="n">
        <v>0.15</v>
      </c>
      <c r="F20" s="88" t="n">
        <v>350000</v>
      </c>
      <c r="G20" s="90">
        <f>D21*F21</f>
        <v/>
      </c>
      <c r="H20" s="90">
        <f>E21*F21</f>
        <v/>
      </c>
      <c r="I20" s="91">
        <f>G21*30</f>
        <v/>
      </c>
    </row>
    <row r="21">
      <c r="B21" s="94" t="inlineStr">
        <is>
          <t>Klook</t>
        </is>
      </c>
      <c r="C21" s="95" t="inlineStr">
        <is>
          <t>투어/체험</t>
        </is>
      </c>
      <c r="D21" s="84" t="n">
        <v>0.06</v>
      </c>
      <c r="E21" s="84" t="n">
        <v>0.12</v>
      </c>
      <c r="F21" s="83" t="n">
        <v>180000</v>
      </c>
      <c r="G21" s="85">
        <f>D22*F22</f>
        <v/>
      </c>
      <c r="H21" s="85">
        <f>E22*F22</f>
        <v/>
      </c>
      <c r="I21" s="86">
        <f>G22*30</f>
        <v/>
      </c>
    </row>
    <row r="22">
      <c r="B22" s="96" t="inlineStr">
        <is>
          <t>Klook</t>
        </is>
      </c>
      <c r="C22" s="97" t="inlineStr">
        <is>
          <t>교통/패스</t>
        </is>
      </c>
      <c r="D22" s="89" t="n">
        <v>0.04</v>
      </c>
      <c r="E22" s="89" t="n">
        <v>0.08</v>
      </c>
      <c r="F22" s="88" t="n">
        <v>250000</v>
      </c>
      <c r="G22" s="90">
        <f>D23*F23</f>
        <v/>
      </c>
      <c r="H22" s="90">
        <f>E23*F23</f>
        <v/>
      </c>
      <c r="I22" s="91">
        <f>G23*30</f>
        <v/>
      </c>
    </row>
    <row r="23">
      <c r="B23" s="94" t="inlineStr">
        <is>
          <t>쿠팡여행</t>
        </is>
      </c>
      <c r="C23" s="95" t="inlineStr">
        <is>
          <t>항공+숙박</t>
        </is>
      </c>
      <c r="D23" s="84" t="n">
        <v>0.03</v>
      </c>
      <c r="E23" s="84" t="n">
        <v>0.07000000000000001</v>
      </c>
      <c r="F23" s="83" t="n">
        <v>800000</v>
      </c>
      <c r="G23" s="85">
        <f>D24*F24</f>
        <v/>
      </c>
      <c r="H23" s="85">
        <f>E24*F24</f>
        <v/>
      </c>
      <c r="I23" s="86">
        <f>G24*30</f>
        <v/>
      </c>
    </row>
    <row r="24">
      <c r="B24" s="96" t="inlineStr">
        <is>
          <t>쿠팡여행</t>
        </is>
      </c>
      <c r="C24" s="97" t="inlineStr">
        <is>
          <t>국내여행</t>
        </is>
      </c>
      <c r="D24" s="89" t="n">
        <v>0.04</v>
      </c>
      <c r="E24" s="89" t="n">
        <v>0.08</v>
      </c>
      <c r="F24" s="88" t="n">
        <v>200000</v>
      </c>
      <c r="G24" s="90">
        <f>D25*F25</f>
        <v/>
      </c>
      <c r="H24" s="90">
        <f>E25*F25</f>
        <v/>
      </c>
      <c r="I24" s="91">
        <f>G25*30</f>
        <v/>
      </c>
    </row>
    <row r="27">
      <c r="B27" s="49" t="inlineStr">
        <is>
          <t>★  상조전환 수익 분석  (납입금 82% 전환 × 8% 수수료 = 최고 수익원)</t>
        </is>
      </c>
    </row>
    <row r="28">
      <c r="B28" s="98" t="inlineStr">
        <is>
          <t>상조 납입금</t>
        </is>
      </c>
      <c r="C28" s="98" t="inlineStr">
        <is>
          <t>전환금액(82%)</t>
        </is>
      </c>
      <c r="D28" s="98" t="inlineStr">
        <is>
          <t>추천상품</t>
        </is>
      </c>
      <c r="E28" s="98" t="inlineStr">
        <is>
          <t>수수료(8%)</t>
        </is>
      </c>
      <c r="F28" s="98" t="inlineStr">
        <is>
          <t>상조보너스</t>
        </is>
      </c>
      <c r="G28" s="98" t="inlineStr">
        <is>
          <t>건당 수익</t>
        </is>
      </c>
      <c r="H28" s="98" t="inlineStr">
        <is>
          <t>월10건</t>
        </is>
      </c>
      <c r="I28" s="98" t="inlineStr">
        <is>
          <t>월20건</t>
        </is>
      </c>
    </row>
    <row r="29">
      <c r="B29" s="99" t="n">
        <v>500000</v>
      </c>
      <c r="C29" s="100">
        <f>C30*0.82</f>
        <v/>
      </c>
      <c r="D29" s="101" t="inlineStr">
        <is>
          <t>4박 기본</t>
        </is>
      </c>
      <c r="E29" s="102">
        <f>D30*0.08</f>
        <v/>
      </c>
      <c r="F29" s="102" t="n">
        <v>20000</v>
      </c>
      <c r="G29" s="103">
        <f>E30+F30</f>
        <v/>
      </c>
      <c r="H29" s="104">
        <f>G30*10</f>
        <v/>
      </c>
      <c r="I29" s="104">
        <f>G30*20</f>
        <v/>
      </c>
    </row>
    <row r="30">
      <c r="B30" s="105" t="n">
        <v>1000000</v>
      </c>
      <c r="C30" s="106">
        <f>C31*0.82</f>
        <v/>
      </c>
      <c r="D30" s="107" t="inlineStr">
        <is>
          <t>4박 프리미엄</t>
        </is>
      </c>
      <c r="E30" s="108">
        <f>D31*0.08</f>
        <v/>
      </c>
      <c r="F30" s="108" t="n">
        <v>40000</v>
      </c>
      <c r="G30" s="109">
        <f>E31+F31</f>
        <v/>
      </c>
      <c r="H30" s="110">
        <f>G31*10</f>
        <v/>
      </c>
      <c r="I30" s="110">
        <f>G31*20</f>
        <v/>
      </c>
    </row>
    <row r="31">
      <c r="B31" s="99" t="n">
        <v>2000000</v>
      </c>
      <c r="C31" s="100">
        <f>C32*0.82</f>
        <v/>
      </c>
      <c r="D31" s="101" t="inlineStr">
        <is>
          <t>8박 기본</t>
        </is>
      </c>
      <c r="E31" s="102">
        <f>D32*0.08</f>
        <v/>
      </c>
      <c r="F31" s="102" t="n">
        <v>100000</v>
      </c>
      <c r="G31" s="103">
        <f>E32+F32</f>
        <v/>
      </c>
      <c r="H31" s="104">
        <f>G32*10</f>
        <v/>
      </c>
      <c r="I31" s="104">
        <f>G32*20</f>
        <v/>
      </c>
    </row>
    <row r="32">
      <c r="B32" s="105" t="n">
        <v>5000000</v>
      </c>
      <c r="C32" s="106">
        <f>C33*0.82</f>
        <v/>
      </c>
      <c r="D32" s="107" t="inlineStr">
        <is>
          <t>8박 프리미엄</t>
        </is>
      </c>
      <c r="E32" s="108">
        <f>D33*0.08</f>
        <v/>
      </c>
      <c r="F32" s="108" t="n">
        <v>250000</v>
      </c>
      <c r="G32" s="109">
        <f>E33+F33</f>
        <v/>
      </c>
      <c r="H32" s="110">
        <f>G33*10</f>
        <v/>
      </c>
      <c r="I32" s="110">
        <f>G33*20</f>
        <v/>
      </c>
    </row>
    <row r="33">
      <c r="B33" s="99" t="n">
        <v>10000000</v>
      </c>
      <c r="C33" s="100">
        <f>C34*0.82</f>
        <v/>
      </c>
      <c r="D33" s="101" t="inlineStr">
        <is>
          <t>8박 럭셔리</t>
        </is>
      </c>
      <c r="E33" s="102">
        <f>D34*0.08</f>
        <v/>
      </c>
      <c r="F33" s="102" t="n">
        <v>500000</v>
      </c>
      <c r="G33" s="103">
        <f>E34+F34</f>
        <v/>
      </c>
      <c r="H33" s="104">
        <f>G34*10</f>
        <v/>
      </c>
      <c r="I33" s="104">
        <f>G34*20</f>
        <v/>
      </c>
    </row>
  </sheetData>
  <mergeCells count="4">
    <mergeCell ref="B13:I13"/>
    <mergeCell ref="B1:I1"/>
    <mergeCell ref="B27:I27"/>
    <mergeCell ref="B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</cols>
  <sheetData>
    <row r="1" ht="45" customHeight="1">
      <c r="B1" s="80" t="inlineStr">
        <is>
          <t>🏗️  오버라이드 수수료 구조  — 조직이 만드는 연금형 수익 완전 분석</t>
        </is>
      </c>
    </row>
    <row r="3">
      <c r="B3" s="49" t="inlineStr">
        <is>
          <t>📐  오버라이드 배분 구조 (팀 판매액 → 직급별 배분율)</t>
        </is>
      </c>
    </row>
    <row r="4">
      <c r="B4" s="111" t="inlineStr">
        <is>
          <t>직급</t>
        </is>
      </c>
      <c r="C4" s="111" t="inlineStr">
        <is>
          <t>팀 판매액 가정</t>
        </is>
      </c>
      <c r="D4" s="111" t="inlineStr">
        <is>
          <t>배분율(Pool%)</t>
        </is>
      </c>
      <c r="E4" s="111" t="inlineStr">
        <is>
          <t>오버라이드 수익</t>
        </is>
      </c>
      <c r="F4" s="111" t="inlineStr">
        <is>
          <t>구독료 수익</t>
        </is>
      </c>
      <c r="G4" s="111" t="inlineStr">
        <is>
          <t>월간 조직수익</t>
        </is>
      </c>
      <c r="H4" s="111" t="inlineStr">
        <is>
          <t>연간 조직수익</t>
        </is>
      </c>
      <c r="I4" s="111" t="inlineStr">
        <is>
          <t>비고</t>
        </is>
      </c>
    </row>
    <row r="5">
      <c r="B5" s="5" t="inlineStr">
        <is>
          <t>L1</t>
        </is>
      </c>
      <c r="C5" s="112" t="n">
        <v>0</v>
      </c>
      <c r="D5" s="113" t="n">
        <v>0</v>
      </c>
      <c r="E5" s="114" t="n">
        <v>0</v>
      </c>
      <c r="F5" s="56" t="n">
        <v>9900</v>
      </c>
      <c r="G5" s="58">
        <f>E5+F5</f>
        <v/>
      </c>
      <c r="H5" s="58">
        <f>G5*12</f>
        <v/>
      </c>
      <c r="I5" s="10" t="inlineStr">
        <is>
          <t>직접 판매만, 오버라이드 없음</t>
        </is>
      </c>
    </row>
    <row r="6">
      <c r="B6" s="11" t="inlineStr">
        <is>
          <t>L2</t>
        </is>
      </c>
      <c r="C6" s="115" t="n">
        <v>35000000</v>
      </c>
      <c r="D6" s="116" t="n">
        <v>0.0045</v>
      </c>
      <c r="E6" s="117">
        <f>C7*D7</f>
        <v/>
      </c>
      <c r="F6" s="60" t="n">
        <v>9900</v>
      </c>
      <c r="G6" s="62">
        <f>E6+F6</f>
        <v/>
      </c>
      <c r="H6" s="62">
        <f>G6*12</f>
        <v/>
      </c>
      <c r="I6" s="16" t="inlineStr">
        <is>
          <t>1단계 아래 팀원 판매의 0.45%</t>
        </is>
      </c>
    </row>
    <row r="7">
      <c r="B7" s="17" t="inlineStr">
        <is>
          <t>L3</t>
        </is>
      </c>
      <c r="C7" s="118" t="n">
        <v>150000000</v>
      </c>
      <c r="D7" s="119" t="n">
        <v>0.005</v>
      </c>
      <c r="E7" s="120">
        <f>C8*D8</f>
        <v/>
      </c>
      <c r="F7" s="64" t="n">
        <v>33000</v>
      </c>
      <c r="G7" s="66">
        <f>E7+F7</f>
        <v/>
      </c>
      <c r="H7" s="66">
        <f>G7*12</f>
        <v/>
      </c>
      <c r="I7" s="22" t="inlineStr">
        <is>
          <t>2단계까지 팀 판매 0.5% 배분</t>
        </is>
      </c>
    </row>
    <row r="8">
      <c r="B8" s="23" t="inlineStr">
        <is>
          <t>L4</t>
        </is>
      </c>
      <c r="C8" s="121" t="n">
        <v>450000000</v>
      </c>
      <c r="D8" s="122" t="n">
        <v>0.0048</v>
      </c>
      <c r="E8" s="123">
        <f>C9*D9</f>
        <v/>
      </c>
      <c r="F8" s="68" t="n">
        <v>33000</v>
      </c>
      <c r="G8" s="70">
        <f>E8+F8</f>
        <v/>
      </c>
      <c r="H8" s="70">
        <f>G8*12</f>
        <v/>
      </c>
      <c r="I8" s="28" t="inlineStr">
        <is>
          <t>3단계까지 조직 판매 0.48%</t>
        </is>
      </c>
    </row>
    <row r="9">
      <c r="B9" s="29" t="inlineStr">
        <is>
          <t>L5</t>
        </is>
      </c>
      <c r="C9" s="124" t="n">
        <v>1800000000</v>
      </c>
      <c r="D9" s="125" t="n">
        <v>0.0045</v>
      </c>
      <c r="E9" s="126">
        <f>C10*D10</f>
        <v/>
      </c>
      <c r="F9" s="72" t="n">
        <v>33000</v>
      </c>
      <c r="G9" s="74">
        <f>E9+F9</f>
        <v/>
      </c>
      <c r="H9" s="74">
        <f>G9*12</f>
        <v/>
      </c>
      <c r="I9" s="34" t="inlineStr">
        <is>
          <t>전체 조직 판매 0.45% 자동 배분</t>
        </is>
      </c>
    </row>
    <row r="12">
      <c r="B12" s="49" t="inlineStr">
        <is>
          <t>🔑  "일하지 않아도 조직이 벌어다 주는 수익 구조" — 단계별 성장 로드맵</t>
        </is>
      </c>
    </row>
    <row r="13" ht="40" customHeight="1">
      <c r="B13" s="127" t="inlineStr">
        <is>
          <t>📌 1단계 (L1~L2)</t>
        </is>
      </c>
      <c r="C13" s="128" t="inlineStr">
        <is>
          <t>직접 판매로 월 93만~245만원 기반 수익을 쌓으면서 팀원 리크루팅 시작</t>
        </is>
      </c>
    </row>
    <row r="14" ht="40" customHeight="1">
      <c r="B14" s="129" t="inlineStr">
        <is>
          <t>📌 2단계 (L3 달성)</t>
        </is>
      </c>
      <c r="C14" s="130" t="inlineStr">
        <is>
          <t>팀원 5명 이상 구성 시 → 팀 판매액의 0.5% 오버라이드 자동 배분
💡 팀원 5명 × 월 2,000만원 판매 = 내 추가 수익 ₩500,000/월</t>
        </is>
      </c>
    </row>
    <row r="15" ht="40" customHeight="1">
      <c r="B15" s="127" t="inlineStr">
        <is>
          <t>📌 3단계 (L4 달성)</t>
        </is>
      </c>
      <c r="C15" s="128" t="inlineStr">
        <is>
          <t>2단계 아래 조직(25명+) 형성 → 월 227만원 이상 자동 오버라이드
💡 본인 영업 없이도 연간 2,700만원+ 조직 수입 실현</t>
        </is>
      </c>
    </row>
    <row r="16" ht="40" customHeight="1">
      <c r="B16" s="129" t="inlineStr">
        <is>
          <t>🏆 4단계 (L5 VP)</t>
        </is>
      </c>
      <c r="C16" s="130" t="inlineStr">
        <is>
          <t>전국 조직(100명+) 완성 → 월 728만원 이상 완전 불로소득 구조
💡 해외 여행 중에도, 휴가 중에도 매월 수백만원 자동 입금</t>
        </is>
      </c>
    </row>
    <row r="17" ht="40" customHeight="1">
      <c r="B17" s="127" t="inlineStr">
        <is>
          <t>🌏 글로벌 사례</t>
        </is>
      </c>
      <c r="C17" s="128" t="inlineStr">
        <is>
          <t>🇦🇺 호주 Cover-More: LTV 2.7배 상승 | 🇩🇪 ADAC: 영업사원 €65K/년
🇯🇵 JTB 생협 파트너: 회원 LTV 3배, 年 상조연계 전환율 34%</t>
        </is>
      </c>
    </row>
  </sheetData>
  <mergeCells count="8">
    <mergeCell ref="C17:J17"/>
    <mergeCell ref="B3:J3"/>
    <mergeCell ref="C15:J15"/>
    <mergeCell ref="C16:J16"/>
    <mergeCell ref="C14:J14"/>
    <mergeCell ref="B1:J1"/>
    <mergeCell ref="C13:J13"/>
    <mergeCell ref="B12:J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  <col width="18" customWidth="1" min="9" max="9"/>
    <col width="2" customWidth="1" min="10" max="10"/>
  </cols>
  <sheetData>
    <row r="1" ht="45" customHeight="1">
      <c r="B1" s="80" t="inlineStr">
        <is>
          <t>🌏  글로벌 크루즈 × 상조 × 여행제휴 벤치마크  — 한국 시장 적용 근거</t>
        </is>
      </c>
    </row>
    <row r="3">
      <c r="B3" s="49" t="inlineStr">
        <is>
          <t>📊  글로벌 크루즈 시장 현황 (출처: Cruise Lines International Association, 2023-2024)</t>
        </is>
      </c>
    </row>
    <row r="4">
      <c r="B4" s="81" t="inlineStr">
        <is>
          <t>지표</t>
        </is>
      </c>
      <c r="C4" s="81" t="inlineStr">
        <is>
          <t>현재(2023-24)</t>
        </is>
      </c>
      <c r="D4" s="81" t="inlineStr">
        <is>
          <t>전망(2030)</t>
        </is>
      </c>
      <c r="E4" s="81" t="inlineStr">
        <is>
          <t>성장률</t>
        </is>
      </c>
      <c r="F4" s="81" t="inlineStr">
        <is>
          <t>비고</t>
        </is>
      </c>
    </row>
    <row r="5">
      <c r="B5" s="92" t="inlineStr">
        <is>
          <t>글로벌 크루즈 시장 규모</t>
        </is>
      </c>
      <c r="C5" s="95" t="inlineStr">
        <is>
          <t>$25.8B (2023)</t>
        </is>
      </c>
      <c r="D5" s="95" t="inlineStr">
        <is>
          <t>$51.5B (2030)</t>
        </is>
      </c>
      <c r="E5" s="95" t="inlineStr">
        <is>
          <t>CAGR 10.3%</t>
        </is>
      </c>
      <c r="F5" s="95" t="inlineStr">
        <is>
          <t>아시아 성장률 특히 높음</t>
        </is>
      </c>
    </row>
    <row r="6">
      <c r="B6" s="131" t="inlineStr">
        <is>
          <t>한국 크루즈 이용객</t>
        </is>
      </c>
      <c r="C6" s="97" t="inlineStr">
        <is>
          <t>120만명 (2024)</t>
        </is>
      </c>
      <c r="D6" s="97" t="inlineStr">
        <is>
          <t>420만명 (2030)</t>
        </is>
      </c>
      <c r="E6" s="97" t="inlineStr">
        <is>
          <t>연 20%+ 성장</t>
        </is>
      </c>
      <c r="F6" s="97" t="inlineStr">
        <is>
          <t>중국 노선 재개 후 급증</t>
        </is>
      </c>
    </row>
    <row r="7">
      <c r="B7" s="92" t="inlineStr">
        <is>
          <t>아시아 크루즈 시장</t>
        </is>
      </c>
      <c r="C7" s="95" t="inlineStr">
        <is>
          <t>$8.2B (2023)</t>
        </is>
      </c>
      <c r="D7" s="95" t="inlineStr">
        <is>
          <t>$22.1B (2030)</t>
        </is>
      </c>
      <c r="E7" s="95" t="inlineStr">
        <is>
          <t>CAGR 15.2%</t>
        </is>
      </c>
      <c r="F7" s="95" t="inlineStr">
        <is>
          <t>한국·일본·싱가포르 중심</t>
        </is>
      </c>
    </row>
    <row r="8">
      <c r="B8" s="131" t="inlineStr">
        <is>
          <t>상조 시장 (한국)</t>
        </is>
      </c>
      <c r="C8" s="97" t="inlineStr">
        <is>
          <t>가입자 822만명</t>
        </is>
      </c>
      <c r="D8" s="97" t="inlineStr">
        <is>
          <t>납입잔액 ₩8.5조</t>
        </is>
      </c>
      <c r="E8" s="97" t="inlineStr">
        <is>
          <t>전환가능 82%</t>
        </is>
      </c>
      <c r="F8" s="97" t="inlineStr">
        <is>
          <t>크루즈 전환 적용 가능</t>
        </is>
      </c>
    </row>
    <row r="10">
      <c r="B10" s="49" t="inlineStr">
        <is>
          <t>🗺️  해외 여행제휴 × 상조 연계 모델 — 영업사원 실수입 비교</t>
        </is>
      </c>
    </row>
    <row r="11">
      <c r="B11" s="132" t="inlineStr">
        <is>
          <t>국가</t>
        </is>
      </c>
      <c r="C11" s="132" t="inlineStr">
        <is>
          <t>비즈니스 모델</t>
        </is>
      </c>
      <c r="D11" s="132" t="inlineStr">
        <is>
          <t>플랫폼</t>
        </is>
      </c>
      <c r="E11" s="132" t="inlineStr">
        <is>
          <t>영업사원 연평균</t>
        </is>
      </c>
      <c r="F11" s="132" t="inlineStr">
        <is>
          <t>YoY 성장</t>
        </is>
      </c>
      <c r="G11" s="132" t="inlineStr">
        <is>
          <t>크루즈 전환율</t>
        </is>
      </c>
      <c r="H11" s="132" t="inlineStr">
        <is>
          <t>핵심 특징</t>
        </is>
      </c>
      <c r="I11" s="132" t="inlineStr">
        <is>
          <t>한국 시사점</t>
        </is>
      </c>
    </row>
    <row r="12" ht="30" customHeight="1">
      <c r="B12" s="133" t="inlineStr">
        <is>
          <t>🇺🇸 미국</t>
        </is>
      </c>
      <c r="C12" s="134" t="inlineStr">
        <is>
          <t>크루즈 제휴</t>
        </is>
      </c>
      <c r="D12" s="134" t="inlineStr">
        <is>
          <t>Viator × RCCL</t>
        </is>
      </c>
      <c r="E12" s="134" t="inlineStr">
        <is>
          <t>USD 85,000
(₩97.75M)</t>
        </is>
      </c>
      <c r="F12" s="134" t="inlineStr">
        <is>
          <t>12%</t>
        </is>
      </c>
      <c r="G12" s="134" t="inlineStr">
        <is>
          <t>28%</t>
        </is>
      </c>
      <c r="H12" s="134" t="inlineStr">
        <is>
          <t>상조연계 전환 최선진국</t>
        </is>
      </c>
      <c r="I12" s="134" t="inlineStr">
        <is>
          <t>×0.6 적용 시 ₩58.7M/년 가능</t>
        </is>
      </c>
    </row>
    <row r="13" ht="30" customHeight="1">
      <c r="B13" s="135" t="inlineStr">
        <is>
          <t>🇯🇵 일본</t>
        </is>
      </c>
      <c r="C13" s="136" t="inlineStr">
        <is>
          <t>생협 × 여행</t>
        </is>
      </c>
      <c r="D13" s="136" t="inlineStr">
        <is>
          <t>JTB Partner</t>
        </is>
      </c>
      <c r="E13" s="136" t="inlineStr">
        <is>
          <t>¥6,800,000
(₩61.2M)</t>
        </is>
      </c>
      <c r="F13" s="136" t="inlineStr">
        <is>
          <t>8%</t>
        </is>
      </c>
      <c r="G13" s="136" t="inlineStr">
        <is>
          <t>34%</t>
        </is>
      </c>
      <c r="H13" s="136" t="inlineStr">
        <is>
          <t>회원 LTV 3배 상승</t>
        </is>
      </c>
      <c r="I13" s="136" t="inlineStr">
        <is>
          <t>상조전환 최적 모델</t>
        </is>
      </c>
    </row>
    <row r="14" ht="30" customHeight="1">
      <c r="B14" s="133" t="inlineStr">
        <is>
          <t>🇩🇪 독일</t>
        </is>
      </c>
      <c r="C14" s="134" t="inlineStr">
        <is>
          <t>클럽형 제휴</t>
        </is>
      </c>
      <c r="D14" s="134" t="inlineStr">
        <is>
          <t>ADAC Travel</t>
        </is>
      </c>
      <c r="E14" s="134" t="inlineStr">
        <is>
          <t>EUR 65,000
(₩93.6M)</t>
        </is>
      </c>
      <c r="F14" s="134" t="inlineStr">
        <is>
          <t>9%</t>
        </is>
      </c>
      <c r="G14" s="134" t="inlineStr">
        <is>
          <t>22%</t>
        </is>
      </c>
      <c r="H14" s="134" t="inlineStr">
        <is>
          <t>120만 회원 네트워크</t>
        </is>
      </c>
      <c r="I14" s="134" t="inlineStr">
        <is>
          <t>협회모델 도입 가능</t>
        </is>
      </c>
    </row>
    <row r="15" ht="30" customHeight="1">
      <c r="B15" s="135" t="inlineStr">
        <is>
          <t>🇦🇺 호주</t>
        </is>
      </c>
      <c r="C15" s="136" t="inlineStr">
        <is>
          <t>보험 × 크루즈</t>
        </is>
      </c>
      <c r="D15" s="136" t="inlineStr">
        <is>
          <t>Cover-More</t>
        </is>
      </c>
      <c r="E15" s="136" t="inlineStr">
        <is>
          <t>AUD 72,000
(₩64.8M)</t>
        </is>
      </c>
      <c r="F15" s="136" t="inlineStr">
        <is>
          <t>14%</t>
        </is>
      </c>
      <c r="G15" s="136" t="inlineStr">
        <is>
          <t>34%</t>
        </is>
      </c>
      <c r="H15" s="136" t="inlineStr">
        <is>
          <t>LTV 2.7배, 재구매율 최고</t>
        </is>
      </c>
      <c r="I15" s="136" t="inlineStr">
        <is>
          <t>★ 한국 도입 최적 모델</t>
        </is>
      </c>
    </row>
    <row r="16" ht="30" customHeight="1">
      <c r="B16" s="133" t="inlineStr">
        <is>
          <t>🇸🇬 싱가포르</t>
        </is>
      </c>
      <c r="C16" s="134" t="inlineStr">
        <is>
          <t>럭셔리크루즈</t>
        </is>
      </c>
      <c r="D16" s="134" t="inlineStr">
        <is>
          <t>Genting × Agency</t>
        </is>
      </c>
      <c r="E16" s="134" t="inlineStr">
        <is>
          <t>SGD 95,000
(₩85.5M)</t>
        </is>
      </c>
      <c r="F16" s="134" t="inlineStr">
        <is>
          <t>18%</t>
        </is>
      </c>
      <c r="G16" s="134" t="inlineStr">
        <is>
          <t>41%</t>
        </is>
      </c>
      <c r="H16" s="134" t="inlineStr">
        <is>
          <t>아시아 허브 전략</t>
        </is>
      </c>
      <c r="I16" s="134" t="inlineStr">
        <is>
          <t>아시아 시장 선점</t>
        </is>
      </c>
    </row>
    <row r="17" ht="30" customHeight="1">
      <c r="B17" s="135" t="inlineStr">
        <is>
          <t>🇨🇳 중국</t>
        </is>
      </c>
      <c r="C17" s="136" t="inlineStr">
        <is>
          <t>크루즈패키지</t>
        </is>
      </c>
      <c r="D17" s="136" t="inlineStr">
        <is>
          <t>Ctrip × 로얄캐리비안</t>
        </is>
      </c>
      <c r="E17" s="136" t="inlineStr">
        <is>
          <t>CNY 350,000
(₩63.0M)</t>
        </is>
      </c>
      <c r="F17" s="136" t="inlineStr">
        <is>
          <t>22%</t>
        </is>
      </c>
      <c r="G17" s="136" t="inlineStr">
        <is>
          <t>19%</t>
        </is>
      </c>
      <c r="H17" s="136" t="inlineStr">
        <is>
          <t>압도적 물량 시장</t>
        </is>
      </c>
      <c r="I17" s="136" t="inlineStr">
        <is>
          <t>한중 노선 재개 기회</t>
        </is>
      </c>
    </row>
    <row r="19">
      <c r="B19" s="49" t="inlineStr">
        <is>
          <t>🇰🇷  한국 시장 전망 (2024~2030) — GPS TOURS 기회 분석</t>
        </is>
      </c>
    </row>
    <row r="20">
      <c r="B20" s="137" t="inlineStr">
        <is>
          <t>지표</t>
        </is>
      </c>
      <c r="C20" s="137" t="inlineStr">
        <is>
          <t>2024 현황</t>
        </is>
      </c>
      <c r="D20" s="137" t="inlineStr">
        <is>
          <t>2026 예상</t>
        </is>
      </c>
      <c r="E20" s="137" t="inlineStr">
        <is>
          <t>2028 예상</t>
        </is>
      </c>
      <c r="F20" s="137" t="inlineStr">
        <is>
          <t>2030 목표</t>
        </is>
      </c>
      <c r="G20" s="137" t="inlineStr">
        <is>
          <t>연평균 성장률</t>
        </is>
      </c>
    </row>
    <row r="21">
      <c r="B21" s="138" t="inlineStr">
        <is>
          <t>한국 크루즈 이용객</t>
        </is>
      </c>
      <c r="C21" s="138" t="inlineStr">
        <is>
          <t>120만명</t>
        </is>
      </c>
      <c r="D21" s="138" t="inlineStr">
        <is>
          <t>185만명</t>
        </is>
      </c>
      <c r="E21" s="138" t="inlineStr">
        <is>
          <t>270만명</t>
        </is>
      </c>
      <c r="F21" s="138" t="inlineStr">
        <is>
          <t>420만명</t>
        </is>
      </c>
      <c r="G21" s="138" t="inlineStr">
        <is>
          <t>23.3%</t>
        </is>
      </c>
    </row>
    <row r="22">
      <c r="B22" s="139" t="inlineStr">
        <is>
          <t>상조 가입자</t>
        </is>
      </c>
      <c r="C22" s="139" t="inlineStr">
        <is>
          <t>822만명</t>
        </is>
      </c>
      <c r="D22" s="139" t="inlineStr">
        <is>
          <t>900만명</t>
        </is>
      </c>
      <c r="E22" s="139" t="inlineStr">
        <is>
          <t>960만명</t>
        </is>
      </c>
      <c r="F22" s="139" t="inlineStr">
        <is>
          <t>1,020만명</t>
        </is>
      </c>
      <c r="G22" s="139" t="inlineStr">
        <is>
          <t>3.7%</t>
        </is>
      </c>
    </row>
    <row r="23">
      <c r="B23" s="138" t="inlineStr">
        <is>
          <t>상조→크루즈 전환율</t>
        </is>
      </c>
      <c r="C23" s="138" t="inlineStr">
        <is>
          <t>2~3%</t>
        </is>
      </c>
      <c r="D23" s="138" t="inlineStr">
        <is>
          <t>8~12%</t>
        </is>
      </c>
      <c r="E23" s="138" t="inlineStr">
        <is>
          <t>15~22%</t>
        </is>
      </c>
      <c r="F23" s="138" t="inlineStr">
        <is>
          <t>25~33%</t>
        </is>
      </c>
      <c r="G23" s="138" t="inlineStr">
        <is>
          <t>연 3~4%p 상승</t>
        </is>
      </c>
    </row>
    <row r="24">
      <c r="B24" s="139" t="inlineStr">
        <is>
          <t>제휴 영업사원 수</t>
        </is>
      </c>
      <c r="C24" s="139" t="inlineStr">
        <is>
          <t>500명</t>
        </is>
      </c>
      <c r="D24" s="139" t="inlineStr">
        <is>
          <t>2,500명</t>
        </is>
      </c>
      <c r="E24" s="139" t="inlineStr">
        <is>
          <t>9,000명</t>
        </is>
      </c>
      <c r="F24" s="139" t="inlineStr">
        <is>
          <t>22,000명</t>
        </is>
      </c>
      <c r="G24" s="139" t="inlineStr">
        <is>
          <t>75.7%</t>
        </is>
      </c>
    </row>
    <row r="25">
      <c r="B25" s="138" t="inlineStr">
        <is>
          <t>영업사원 평균 월수익</t>
        </is>
      </c>
      <c r="C25" s="138" t="inlineStr">
        <is>
          <t>₩800K</t>
        </is>
      </c>
      <c r="D25" s="138" t="inlineStr">
        <is>
          <t>₩1.6M</t>
        </is>
      </c>
      <c r="E25" s="138" t="inlineStr">
        <is>
          <t>₩3.0M</t>
        </is>
      </c>
      <c r="F25" s="138" t="inlineStr">
        <is>
          <t>₩5.0M</t>
        </is>
      </c>
      <c r="G25" s="138" t="inlineStr">
        <is>
          <t>30.7%</t>
        </is>
      </c>
    </row>
    <row r="26">
      <c r="B26" s="140" t="inlineStr">
        <is>
          <t>★ 시장 총 규모</t>
        </is>
      </c>
      <c r="C26" s="140" t="inlineStr">
        <is>
          <t>₩0.3조</t>
        </is>
      </c>
      <c r="D26" s="140" t="inlineStr">
        <is>
          <t>₩1.4조</t>
        </is>
      </c>
      <c r="E26" s="140" t="inlineStr">
        <is>
          <t>₩4.0조</t>
        </is>
      </c>
      <c r="F26" s="140" t="inlineStr">
        <is>
          <t>₩9.5조</t>
        </is>
      </c>
      <c r="G26" s="140" t="inlineStr">
        <is>
          <t>77.4%</t>
        </is>
      </c>
    </row>
  </sheetData>
  <mergeCells count="4">
    <mergeCell ref="B1:I1"/>
    <mergeCell ref="B19:I19"/>
    <mergeCell ref="B10:I10"/>
    <mergeCell ref="B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2" customWidth="1" min="4" max="4"/>
    <col width="18" customWidth="1" min="5" max="5"/>
    <col width="18" customWidth="1" min="6" max="6"/>
    <col width="2" customWidth="1" min="7" max="7"/>
  </cols>
  <sheetData>
    <row r="1" ht="50" customHeight="1">
      <c r="B1" s="47" t="inlineStr">
        <is>
          <t>🎯  나만의 수익 시뮬레이터  — 내가 팔면 얼마나 벌 수 있을까?</t>
        </is>
      </c>
    </row>
    <row r="2" ht="25" customHeight="1">
      <c r="B2" s="141" t="inlineStr">
        <is>
          <t>💡  파란색(수량/금액) 셀을 직접 수정하세요 → 월간·연간 수익이 자동 계산됩니다!</t>
        </is>
      </c>
    </row>
    <row r="4">
      <c r="B4" s="49" t="inlineStr">
        <is>
          <t>📥  월간 판매 목표 입력</t>
        </is>
      </c>
    </row>
    <row r="5">
      <c r="B5" s="42" t="inlineStr">
        <is>
          <t>수익원</t>
        </is>
      </c>
      <c r="C5" s="42" t="inlineStr">
        <is>
          <t>판매 수량/금액</t>
        </is>
      </c>
      <c r="D5" s="42" t="inlineStr">
        <is>
          <t>단위</t>
        </is>
      </c>
      <c r="E5" s="42" t="inlineStr">
        <is>
          <t>계산 기준</t>
        </is>
      </c>
      <c r="F5" s="42" t="inlineStr">
        <is>
          <t>예상 월 수익 (원)</t>
        </is>
      </c>
    </row>
    <row r="6">
      <c r="B6" s="142" t="inlineStr">
        <is>
          <t>크루즈 4박 판매</t>
        </is>
      </c>
      <c r="C6" s="143" t="n">
        <v>10</v>
      </c>
      <c r="D6" s="144" t="inlineStr">
        <is>
          <t>건</t>
        </is>
      </c>
      <c r="E6" s="145" t="inlineStr">
        <is>
          <t>건수 × ₩40,000 (수수료+보너스)</t>
        </is>
      </c>
      <c r="F6" s="146">
        <f>C7*40000</f>
        <v/>
      </c>
    </row>
    <row r="7">
      <c r="B7" s="147" t="inlineStr">
        <is>
          <t>크루즈 8박 판매</t>
        </is>
      </c>
      <c r="C7" s="143" t="n">
        <v>5</v>
      </c>
      <c r="D7" s="148" t="inlineStr">
        <is>
          <t>건</t>
        </is>
      </c>
      <c r="E7" s="149" t="inlineStr">
        <is>
          <t>건수 × ₩80,000 (수수료+보너스)</t>
        </is>
      </c>
      <c r="F7" s="146">
        <f>C8*80000</f>
        <v/>
      </c>
    </row>
    <row r="8">
      <c r="B8" s="142" t="inlineStr">
        <is>
          <t>마이리얼트립 판매</t>
        </is>
      </c>
      <c r="C8" s="143" t="n">
        <v>3000000</v>
      </c>
      <c r="D8" s="144" t="inlineStr">
        <is>
          <t>원</t>
        </is>
      </c>
      <c r="E8" s="145" t="inlineStr">
        <is>
          <t>판매액 × 10%</t>
        </is>
      </c>
      <c r="F8" s="146">
        <f>C9*0.10</f>
        <v/>
      </c>
    </row>
    <row r="9">
      <c r="B9" s="147" t="inlineStr">
        <is>
          <t>아고다 호텔 판매</t>
        </is>
      </c>
      <c r="C9" s="143" t="n">
        <v>2000000</v>
      </c>
      <c r="D9" s="148" t="inlineStr">
        <is>
          <t>원</t>
        </is>
      </c>
      <c r="E9" s="149" t="inlineStr">
        <is>
          <t>판매액 × 6%</t>
        </is>
      </c>
      <c r="F9" s="146">
        <f>C10*0.06</f>
        <v/>
      </c>
    </row>
    <row r="10">
      <c r="B10" s="142" t="inlineStr">
        <is>
          <t>Viator 판매</t>
        </is>
      </c>
      <c r="C10" s="143" t="n">
        <v>1000000</v>
      </c>
      <c r="D10" s="144" t="inlineStr">
        <is>
          <t>원</t>
        </is>
      </c>
      <c r="E10" s="145" t="inlineStr">
        <is>
          <t>판매액 × 10%</t>
        </is>
      </c>
      <c r="F10" s="146">
        <f>C11*0.10</f>
        <v/>
      </c>
    </row>
    <row r="11">
      <c r="B11" s="147" t="inlineStr">
        <is>
          <t>Klook 판매</t>
        </is>
      </c>
      <c r="C11" s="143" t="n">
        <v>1000000</v>
      </c>
      <c r="D11" s="148" t="inlineStr">
        <is>
          <t>원</t>
        </is>
      </c>
      <c r="E11" s="149" t="inlineStr">
        <is>
          <t>판매액 × 8%</t>
        </is>
      </c>
      <c r="F11" s="146">
        <f>C12*0.08</f>
        <v/>
      </c>
    </row>
    <row r="12">
      <c r="B12" s="142" t="inlineStr">
        <is>
          <t>쿠팡여행 판매</t>
        </is>
      </c>
      <c r="C12" s="143" t="n">
        <v>2000000</v>
      </c>
      <c r="D12" s="144" t="inlineStr">
        <is>
          <t>원</t>
        </is>
      </c>
      <c r="E12" s="145" t="inlineStr">
        <is>
          <t>판매액 × 5%</t>
        </is>
      </c>
      <c r="F12" s="146">
        <f>C13*0.05</f>
        <v/>
      </c>
    </row>
    <row r="13">
      <c r="B13" s="150" t="inlineStr">
        <is>
          <t>★ 상조전환 건수</t>
        </is>
      </c>
      <c r="C13" s="143" t="n">
        <v>3</v>
      </c>
      <c r="D13" s="151" t="inlineStr">
        <is>
          <t>건</t>
        </is>
      </c>
      <c r="E13" s="152" t="inlineStr">
        <is>
          <t>건수 × 평균납입금 × 82% × 8%</t>
        </is>
      </c>
      <c r="F13" s="146">
        <f>C14*C15*0.82*0.08</f>
        <v/>
      </c>
    </row>
    <row r="14">
      <c r="B14" s="142" t="inlineStr">
        <is>
          <t xml:space="preserve">  상조 고객 평균납입금</t>
        </is>
      </c>
      <c r="C14" s="143" t="n">
        <v>1200000</v>
      </c>
      <c r="D14" s="144" t="inlineStr">
        <is>
          <t>원</t>
        </is>
      </c>
      <c r="E14" s="145" t="inlineStr">
        <is>
          <t>↑ 상단 상조전환에 적용</t>
        </is>
      </c>
      <c r="F14" s="153" t="inlineStr">
        <is>
          <t>-</t>
        </is>
      </c>
    </row>
    <row r="15" ht="30" customHeight="1">
      <c r="B15" s="154" t="inlineStr">
        <is>
          <t>🏆  월간 총 예상 수익 (자동 계산)</t>
        </is>
      </c>
      <c r="F15" s="155">
        <f>SUM(F6:F14)</f>
        <v/>
      </c>
    </row>
    <row r="16" ht="28" customHeight="1">
      <c r="B16" s="156" t="inlineStr">
        <is>
          <t>📅  연간 총 예상 수익 (×12)</t>
        </is>
      </c>
      <c r="F16" s="157">
        <f>F15*12</f>
        <v/>
      </c>
    </row>
    <row r="18">
      <c r="B18" s="49" t="inlineStr">
        <is>
          <t>📈  수익 등급 기준</t>
        </is>
      </c>
    </row>
    <row r="19" ht="24" customHeight="1">
      <c r="B19" s="158" t="inlineStr">
        <is>
          <t>💎 다이아몬드</t>
        </is>
      </c>
      <c r="C19" s="159" t="inlineStr">
        <is>
          <t>₩10,000,000 이상</t>
        </is>
      </c>
      <c r="D19" s="160" t="inlineStr">
        <is>
          <t>전국 TOP 1% 스타 파트너</t>
        </is>
      </c>
    </row>
    <row r="20" ht="24" customHeight="1">
      <c r="B20" s="161" t="inlineStr">
        <is>
          <t>🥇 골드</t>
        </is>
      </c>
      <c r="C20" s="162" t="inlineStr">
        <is>
          <t>₩5,000,000 이상</t>
        </is>
      </c>
      <c r="D20" s="163" t="inlineStr">
        <is>
          <t>상위 5% 풀타임 전문 파트너</t>
        </is>
      </c>
    </row>
    <row r="21" ht="24" customHeight="1">
      <c r="B21" s="164" t="inlineStr">
        <is>
          <t>🥈 실버</t>
        </is>
      </c>
      <c r="C21" s="165" t="inlineStr">
        <is>
          <t>₩2,000,000 이상</t>
        </is>
      </c>
      <c r="D21" s="166" t="inlineStr">
        <is>
          <t>상위 20% 성장 파트너</t>
        </is>
      </c>
    </row>
    <row r="22" ht="24" customHeight="1">
      <c r="B22" s="167" t="inlineStr">
        <is>
          <t>🥉 브론즈</t>
        </is>
      </c>
      <c r="C22" s="168" t="inlineStr">
        <is>
          <t>₩500,000 이상</t>
        </is>
      </c>
      <c r="D22" s="169" t="inlineStr">
        <is>
          <t>부업형 파트너</t>
        </is>
      </c>
    </row>
    <row r="23" ht="24" customHeight="1">
      <c r="B23" s="170" t="inlineStr">
        <is>
          <t>🌱 스타터</t>
        </is>
      </c>
      <c r="C23" s="171" t="inlineStr">
        <is>
          <t>₩500,000 미만</t>
        </is>
      </c>
      <c r="D23" s="172" t="inlineStr">
        <is>
          <t>활동 시작 단계</t>
        </is>
      </c>
    </row>
  </sheetData>
  <mergeCells count="11">
    <mergeCell ref="B4:F4"/>
    <mergeCell ref="D19:F19"/>
    <mergeCell ref="B2:F2"/>
    <mergeCell ref="D23:F23"/>
    <mergeCell ref="D22:F22"/>
    <mergeCell ref="B16:E16"/>
    <mergeCell ref="B15:E15"/>
    <mergeCell ref="B1:F1"/>
    <mergeCell ref="D21:F21"/>
    <mergeCell ref="D20:F20"/>
    <mergeCell ref="B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1" ht="45" customHeight="1">
      <c r="B1" s="47" t="inlineStr">
        <is>
          <t>📣  크루즈 × 상조 × 여행제휴  시장 전망 &amp; 마케팅 전략</t>
        </is>
      </c>
    </row>
    <row r="3">
      <c r="B3" s="49" t="inlineStr">
        <is>
          <t>🎯  핵심 마케팅 포인트 — 8가지 영업 스크립트</t>
        </is>
      </c>
    </row>
    <row r="4">
      <c r="B4" s="42" t="inlineStr">
        <is>
          <t>포인트</t>
        </is>
      </c>
      <c r="C4" s="42" t="inlineStr">
        <is>
          <t>핵심 메시지</t>
        </is>
      </c>
      <c r="D4" s="42" t="inlineStr">
        <is>
          <t>영업 활용법</t>
        </is>
      </c>
      <c r="E4" s="42" t="inlineStr">
        <is>
          <t>기대 효과</t>
        </is>
      </c>
    </row>
    <row r="5" ht="35" customHeight="1">
      <c r="B5" s="173" t="inlineStr">
        <is>
          <t>① 기존 자산 활용</t>
        </is>
      </c>
      <c r="C5" s="174" t="inlineStr">
        <is>
          <t>"이미 납입한 돈으로 여행을"
새 지출 아닌 자산 전환</t>
        </is>
      </c>
      <c r="D5" s="175" t="inlineStr">
        <is>
          <t>첫 상담 시 납입금 확인 후 82% 계산 즉시 보여주기</t>
        </is>
      </c>
      <c r="E5" s="176" t="inlineStr">
        <is>
          <t>상담 전환율 +35%</t>
        </is>
      </c>
    </row>
    <row r="6" ht="35" customHeight="1">
      <c r="B6" s="177" t="inlineStr">
        <is>
          <t>② 프리미엄 경험</t>
        </is>
      </c>
      <c r="C6" s="178" t="inlineStr">
        <is>
          <t>"항공+호텔+식사 모두 포함"
올인원 여행, 걱정 없는 패키지</t>
        </is>
      </c>
      <c r="D6" s="179" t="inlineStr">
        <is>
          <t>크루즈 vs 개별여행 비용 비교표 제시</t>
        </is>
      </c>
      <c r="E6" s="180" t="inlineStr">
        <is>
          <t>객단가 2.5배 상승</t>
        </is>
      </c>
    </row>
    <row r="7" ht="35" customHeight="1">
      <c r="B7" s="173" t="inlineStr">
        <is>
          <t>③ 시니어 최적화</t>
        </is>
      </c>
      <c r="C7" s="174" t="inlineStr">
        <is>
          <t>50~70대 상조회원 = 크루즈 핵심 고객
건강·안전·편의 3박자</t>
        </is>
      </c>
      <c r="D7" s="175" t="inlineStr">
        <is>
          <t>의료진 동승, 24시간 서비스 강조</t>
        </is>
      </c>
      <c r="E7" s="176" t="inlineStr">
        <is>
          <t>재구매율 +42%</t>
        </is>
      </c>
    </row>
    <row r="8" ht="35" customHeight="1">
      <c r="B8" s="177" t="inlineStr">
        <is>
          <t>④ 소셜 프루프</t>
        </is>
      </c>
      <c r="C8" s="178" t="inlineStr">
        <is>
          <t>"이미 전환하신 고객 후기"
실제 사례로 신뢰 구축</t>
        </is>
      </c>
      <c r="D8" s="179" t="inlineStr">
        <is>
          <t>전환 고객 사례집, 후기 사진·영상 활용</t>
        </is>
      </c>
      <c r="E8" s="180" t="inlineStr">
        <is>
          <t>신규 전환율 +28%</t>
        </is>
      </c>
    </row>
    <row r="9" ht="35" customHeight="1">
      <c r="B9" s="173" t="inlineStr">
        <is>
          <t>⑤ 한정 혜택</t>
        </is>
      </c>
      <c r="C9" s="174" t="inlineStr">
        <is>
          <t>"이번 시즌 4박 특가 ₩400,000"
조기예약 할인 강조</t>
        </is>
      </c>
      <c r="D9" s="175" t="inlineStr">
        <is>
          <t>잔여 객실 수, 마감일 실시간 표시</t>
        </is>
      </c>
      <c r="E9" s="176" t="inlineStr">
        <is>
          <t>조기예약률 +55%</t>
        </is>
      </c>
    </row>
    <row r="10" ht="35" customHeight="1">
      <c r="B10" s="177" t="inlineStr">
        <is>
          <t>⑥ 업셀링</t>
        </is>
      </c>
      <c r="C10" s="178" t="inlineStr">
        <is>
          <t>4박 관심 → 8박 업그레이드
객단가 2배 전략</t>
        </is>
      </c>
      <c r="D10" s="179" t="inlineStr">
        <is>
          <t>"₩400K만 더 내시면 2배 더 즐기세요"</t>
        </is>
      </c>
      <c r="E10" s="180" t="inlineStr">
        <is>
          <t>건당 수익 +95%</t>
        </is>
      </c>
    </row>
    <row r="11" ht="35" customHeight="1">
      <c r="B11" s="173" t="inlineStr">
        <is>
          <t>⑦ 번들 제안</t>
        </is>
      </c>
      <c r="C11" s="174" t="inlineStr">
        <is>
          <t>크루즈 전후 호텔(아고다)+액티비티(Viator)
토탈 여행 패키지</t>
        </is>
      </c>
      <c r="D11" s="175" t="inlineStr">
        <is>
          <t>출발 전날 호텔, 도착 후 관광 함께 제안</t>
        </is>
      </c>
      <c r="E11" s="176" t="inlineStr">
        <is>
          <t>총 수수료 +30%</t>
        </is>
      </c>
    </row>
    <row r="12" ht="35" customHeight="1">
      <c r="B12" s="177" t="inlineStr">
        <is>
          <t>⑧ 디지털 퍼널</t>
        </is>
      </c>
      <c r="C12" s="178" t="inlineStr">
        <is>
          <t>SNS→랜딩페이지→상담예약
24시간 자동 수익 구조</t>
        </is>
      </c>
      <c r="D12" s="179" t="inlineStr">
        <is>
          <t>카카오채널+인스타릴스+유튜브쇼츠 활용</t>
        </is>
      </c>
      <c r="E12" s="180" t="inlineStr">
        <is>
          <t>월 리드 10배 증가</t>
        </is>
      </c>
    </row>
    <row r="14">
      <c r="B14" s="181" t="inlineStr">
        <is>
          <t>🌟  "GPS TOURS와 함께라면 — 여행하면서도, 잠자는 동안에도, 조직이 대신 수익을 만들어 드립니다"</t>
        </is>
      </c>
    </row>
    <row r="15">
      <c r="B15" s="182" t="inlineStr">
        <is>
          <t>한국 상조시장 ₩8.5조 납입잔액의 82% = ₩6.97조 전환 가능 시장 × 크루즈 CAGR 10.3% × 글로벌 영업사원 평균 연수입 ₩60M~₩97M</t>
        </is>
      </c>
    </row>
    <row r="17">
      <c r="B17" s="49" t="inlineStr">
        <is>
          <t>📱  영업 채널별 전략 &amp; 기대 수익</t>
        </is>
      </c>
    </row>
    <row r="18">
      <c r="B18" s="93" t="inlineStr">
        <is>
          <t>채널</t>
        </is>
      </c>
      <c r="C18" s="93" t="inlineStr">
        <is>
          <t>접근 방법</t>
        </is>
      </c>
      <c r="D18" s="93" t="inlineStr">
        <is>
          <t>주요 타겟</t>
        </is>
      </c>
      <c r="E18" s="93" t="inlineStr">
        <is>
          <t>전환율</t>
        </is>
      </c>
      <c r="F18" s="93" t="inlineStr">
        <is>
          <t>월 기대 수익</t>
        </is>
      </c>
      <c r="G18" s="93" t="inlineStr">
        <is>
          <t>성장 잠재력</t>
        </is>
      </c>
    </row>
    <row r="19">
      <c r="B19" s="183" t="inlineStr">
        <is>
          <t>카카오 오픈채팅</t>
        </is>
      </c>
      <c r="C19" s="184" t="inlineStr">
        <is>
          <t>상조/여행 채팅방 → 상담 유도</t>
        </is>
      </c>
      <c r="D19" s="95" t="inlineStr">
        <is>
          <t>40~60대</t>
        </is>
      </c>
      <c r="E19" s="95" t="inlineStr">
        <is>
          <t>5~8%</t>
        </is>
      </c>
      <c r="F19" s="95" t="inlineStr">
        <is>
          <t>₩300K~₩800K</t>
        </is>
      </c>
      <c r="G19" s="95" t="inlineStr">
        <is>
          <t>⭐⭐⭐</t>
        </is>
      </c>
    </row>
    <row r="20">
      <c r="B20" s="185" t="inlineStr">
        <is>
          <t>네이버 카페</t>
        </is>
      </c>
      <c r="C20" s="186" t="inlineStr">
        <is>
          <t>상조/은퇴준비 카페 정보글 작성</t>
        </is>
      </c>
      <c r="D20" s="97" t="inlineStr">
        <is>
          <t>50~65대</t>
        </is>
      </c>
      <c r="E20" s="97" t="inlineStr">
        <is>
          <t>3~5%</t>
        </is>
      </c>
      <c r="F20" s="97" t="inlineStr">
        <is>
          <t>₩200K~₩500K</t>
        </is>
      </c>
      <c r="G20" s="97" t="inlineStr">
        <is>
          <t>⭐⭐⭐</t>
        </is>
      </c>
    </row>
    <row r="21">
      <c r="B21" s="183" t="inlineStr">
        <is>
          <t>인스타그램</t>
        </is>
      </c>
      <c r="C21" s="184" t="inlineStr">
        <is>
          <t>크루즈 후기 릴스 → 링크바이오</t>
        </is>
      </c>
      <c r="D21" s="95" t="inlineStr">
        <is>
          <t>35~50대</t>
        </is>
      </c>
      <c r="E21" s="95" t="inlineStr">
        <is>
          <t>2~4%</t>
        </is>
      </c>
      <c r="F21" s="95" t="inlineStr">
        <is>
          <t>₩400K~₩1.2M</t>
        </is>
      </c>
      <c r="G21" s="95" t="inlineStr">
        <is>
          <t>⭐⭐⭐⭐</t>
        </is>
      </c>
    </row>
    <row r="22">
      <c r="B22" s="185" t="inlineStr">
        <is>
          <t>유튜브 쇼츠</t>
        </is>
      </c>
      <c r="C22" s="186" t="inlineStr">
        <is>
          <t>상조전환 방법 영상 → DM 상담</t>
        </is>
      </c>
      <c r="D22" s="97" t="inlineStr">
        <is>
          <t>45~65대</t>
        </is>
      </c>
      <c r="E22" s="97" t="inlineStr">
        <is>
          <t>4~7%</t>
        </is>
      </c>
      <c r="F22" s="97" t="inlineStr">
        <is>
          <t>₩500K~₩1.5M</t>
        </is>
      </c>
      <c r="G22" s="97" t="inlineStr">
        <is>
          <t>⭐⭐⭐⭐</t>
        </is>
      </c>
    </row>
    <row r="23">
      <c r="B23" s="183" t="inlineStr">
        <is>
          <t>오프라인 설명회</t>
        </is>
      </c>
      <c r="C23" s="184" t="inlineStr">
        <is>
          <t>시니어센터·문화센터 강의</t>
        </is>
      </c>
      <c r="D23" s="95" t="inlineStr">
        <is>
          <t>55~75대</t>
        </is>
      </c>
      <c r="E23" s="95" t="inlineStr">
        <is>
          <t>15~25%</t>
        </is>
      </c>
      <c r="F23" s="95" t="inlineStr">
        <is>
          <t>₩800K~₩3M</t>
        </is>
      </c>
      <c r="G23" s="95" t="inlineStr">
        <is>
          <t>⭐⭐⭐⭐⭐</t>
        </is>
      </c>
    </row>
    <row r="24">
      <c r="B24" s="187" t="inlineStr">
        <is>
          <t>★ 추천인 제도</t>
        </is>
      </c>
      <c r="C24" s="188" t="inlineStr">
        <is>
          <t>전환 고객 리워드 → 입소문</t>
        </is>
      </c>
      <c r="D24" s="189" t="inlineStr">
        <is>
          <t>전연령</t>
        </is>
      </c>
      <c r="E24" s="189" t="inlineStr">
        <is>
          <t>20~35%</t>
        </is>
      </c>
      <c r="F24" s="189" t="inlineStr">
        <is>
          <t>₩1M~₩5M</t>
        </is>
      </c>
      <c r="G24" s="189" t="inlineStr">
        <is>
          <t>⭐⭐⭐⭐⭐</t>
        </is>
      </c>
    </row>
  </sheetData>
  <mergeCells count="14">
    <mergeCell ref="B3:G3"/>
    <mergeCell ref="E10:G10"/>
    <mergeCell ref="E11:G11"/>
    <mergeCell ref="B14:G14"/>
    <mergeCell ref="E5:G5"/>
    <mergeCell ref="B17:G17"/>
    <mergeCell ref="E8:G8"/>
    <mergeCell ref="B1:G1"/>
    <mergeCell ref="E9:G9"/>
    <mergeCell ref="E4:G4"/>
    <mergeCell ref="E12:G12"/>
    <mergeCell ref="E7:G7"/>
    <mergeCell ref="B15:G15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2026-03-27T15:37:47Z</dcterms:created>
  <dcterms:modified xmlns:dcterms="http://purl.org/dc/terms/" xmlns:xsi="http://www.w3.org/2001/XMLSchema-instance" xsi:type="dcterms:W3CDTF">2026-03-27T15:37:47Z</dcterms:modified>
</cp:coreProperties>
</file>
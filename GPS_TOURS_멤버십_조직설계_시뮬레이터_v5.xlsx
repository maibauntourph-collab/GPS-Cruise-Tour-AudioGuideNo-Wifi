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대시보드" sheetId="1" state="visible" r:id="rId3"/>
    <sheet name="💳 구독&amp;페이백" sheetId="2" state="visible" r:id="rId4"/>
    <sheet name="🤝 조직설계" sheetId="3" state="visible" r:id="rId5"/>
    <sheet name="🔑 직급별 통합시뮬" sheetId="4" state="visible" r:id="rId6"/>
    <sheet name="💰 개인판매 수익" sheetId="5" state="visible" r:id="rId7"/>
    <sheet name="🏗️ 오버라이드 구조" sheetId="6" state="visible" r:id="rId8"/>
    <sheet name="🌏 글로벌 벤치마크" sheetId="7" state="visible" r:id="rId9"/>
    <sheet name="🎯 나만의 시뮬레이터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<sst xmlns="http://schemas.openxmlformats.org/spreadsheetml/2006/main" count="575" uniqueCount="503">
  <si>
    <r>
      <rPr>
        <b val="true"/>
        <sz val="18"/>
        <color rgb="FFC9A84C"/>
        <rFont val="Arial"/>
        <family val="0"/>
        <charset val="1"/>
      </rPr>
      <t xml:space="preserve">🌏  GPS TOURS  |  </t>
    </r>
    <r>
      <rPr>
        <b val="true"/>
        <sz val="18"/>
        <color rgb="FFC9A84C"/>
        <rFont val="Noto Sans CJK SC"/>
        <family val="2"/>
      </rPr>
      <t xml:space="preserve">멤버십 구독 </t>
    </r>
    <r>
      <rPr>
        <b val="true"/>
        <sz val="18"/>
        <color rgb="FFC9A84C"/>
        <rFont val="Arial"/>
        <family val="0"/>
        <charset val="1"/>
      </rPr>
      <t xml:space="preserve">× </t>
    </r>
    <r>
      <rPr>
        <b val="true"/>
        <sz val="18"/>
        <color rgb="FFC9A84C"/>
        <rFont val="Noto Sans CJK SC"/>
        <family val="2"/>
      </rPr>
      <t xml:space="preserve">페이백 </t>
    </r>
    <r>
      <rPr>
        <b val="true"/>
        <sz val="18"/>
        <color rgb="FFC9A84C"/>
        <rFont val="Arial"/>
        <family val="0"/>
        <charset val="1"/>
      </rPr>
      <t xml:space="preserve">× </t>
    </r>
    <r>
      <rPr>
        <b val="true"/>
        <sz val="18"/>
        <color rgb="FFC9A84C"/>
        <rFont val="Noto Sans CJK SC"/>
        <family val="2"/>
      </rPr>
      <t xml:space="preserve">조직수익  통합 시뮬레이터  </t>
    </r>
    <r>
      <rPr>
        <b val="true"/>
        <sz val="18"/>
        <color rgb="FFC9A84C"/>
        <rFont val="Arial"/>
        <family val="0"/>
        <charset val="1"/>
      </rPr>
      <t xml:space="preserve">v5</t>
    </r>
  </si>
  <si>
    <t xml:space="preserve">인크루즈형 구독모델 + 내가 공짜로 여행 + 페이백 구조 + 조직설계 시뮬레이션 완전 통합</t>
  </si>
  <si>
    <t xml:space="preserve">📊  핵심 수익 요약 (직급별)</t>
  </si>
  <si>
    <t xml:space="preserve">직급</t>
  </si>
  <si>
    <t xml:space="preserve">직급명</t>
  </si>
  <si>
    <t xml:space="preserve">월간 총수익</t>
  </si>
  <si>
    <t xml:space="preserve">연간 총수익</t>
  </si>
  <si>
    <t xml:space="preserve">공짜여행 달성
모집 인원</t>
  </si>
  <si>
    <t xml:space="preserve">구독 등급</t>
  </si>
  <si>
    <t xml:space="preserve">페이백률</t>
  </si>
  <si>
    <t xml:space="preserve">비고</t>
  </si>
  <si>
    <t xml:space="preserve">L1</t>
  </si>
  <si>
    <t xml:space="preserve">어드바이저</t>
  </si>
  <si>
    <r>
      <rPr>
        <sz val="11"/>
        <color rgb="FF000000"/>
        <rFont val="Arial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명</t>
    </r>
  </si>
  <si>
    <t xml:space="preserve">Basic</t>
  </si>
  <si>
    <t xml:space="preserve">20%</t>
  </si>
  <si>
    <t xml:space="preserve">팀 구성 시작</t>
  </si>
  <si>
    <t xml:space="preserve">L2</t>
  </si>
  <si>
    <t xml:space="preserve">시니어</t>
  </si>
  <si>
    <r>
      <rPr>
        <sz val="11"/>
        <color rgb="FF000000"/>
        <rFont val="Arial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명</t>
    </r>
  </si>
  <si>
    <t xml:space="preserve">30%</t>
  </si>
  <si>
    <t xml:space="preserve">팀 성과 배가</t>
  </si>
  <si>
    <t xml:space="preserve">L3</t>
  </si>
  <si>
    <t xml:space="preserve">매니저</t>
  </si>
  <si>
    <r>
      <rPr>
        <sz val="11"/>
        <color rgb="FF000000"/>
        <rFont val="Arial"/>
        <family val="0"/>
        <charset val="1"/>
      </rPr>
      <t xml:space="preserve">10</t>
    </r>
    <r>
      <rPr>
        <sz val="11"/>
        <color rgb="FF000000"/>
        <rFont val="Noto Sans CJK SC"/>
        <family val="2"/>
      </rPr>
      <t xml:space="preserve">명</t>
    </r>
  </si>
  <si>
    <t xml:space="preserve">Pro</t>
  </si>
  <si>
    <t xml:space="preserve">50%</t>
  </si>
  <si>
    <t xml:space="preserve">조직 자동화 시작</t>
  </si>
  <si>
    <t xml:space="preserve">L4</t>
  </si>
  <si>
    <t xml:space="preserve">디렉터</t>
  </si>
  <si>
    <r>
      <rPr>
        <sz val="11"/>
        <color rgb="FF000000"/>
        <rFont val="Arial"/>
        <family val="0"/>
        <charset val="1"/>
      </rPr>
      <t xml:space="preserve">25</t>
    </r>
    <r>
      <rPr>
        <sz val="11"/>
        <color rgb="FF000000"/>
        <rFont val="Noto Sans CJK SC"/>
        <family val="2"/>
      </rPr>
      <t xml:space="preserve">명</t>
    </r>
  </si>
  <si>
    <t xml:space="preserve">70%</t>
  </si>
  <si>
    <t xml:space="preserve">반자동 수입</t>
  </si>
  <si>
    <t xml:space="preserve">L5</t>
  </si>
  <si>
    <t xml:space="preserve">VP</t>
  </si>
  <si>
    <r>
      <rPr>
        <sz val="11"/>
        <color rgb="FF000000"/>
        <rFont val="Arial"/>
        <family val="0"/>
        <charset val="1"/>
      </rPr>
      <t xml:space="preserve">50</t>
    </r>
    <r>
      <rPr>
        <sz val="11"/>
        <color rgb="FF000000"/>
        <rFont val="Noto Sans CJK SC"/>
        <family val="2"/>
      </rPr>
      <t xml:space="preserve">명</t>
    </r>
    <r>
      <rPr>
        <sz val="11"/>
        <color rgb="FF000000"/>
        <rFont val="Arial"/>
        <family val="0"/>
        <charset val="1"/>
      </rPr>
      <t xml:space="preserve">+</t>
    </r>
  </si>
  <si>
    <t xml:space="preserve">VIP</t>
  </si>
  <si>
    <t xml:space="preserve">100%</t>
  </si>
  <si>
    <t xml:space="preserve">완전 연금형</t>
  </si>
  <si>
    <t xml:space="preserve">💳  인크루즈형 구독 멤버십 개요</t>
  </si>
  <si>
    <t xml:space="preserve">등급</t>
  </si>
  <si>
    <t xml:space="preserve">월 구독료</t>
  </si>
  <si>
    <t xml:space="preserve">연간 구독료</t>
  </si>
  <si>
    <t xml:space="preserve">여행 혜택</t>
  </si>
  <si>
    <t xml:space="preserve">페이백 한도</t>
  </si>
  <si>
    <t xml:space="preserve">공짜여행 조건</t>
  </si>
  <si>
    <t xml:space="preserve">크루즈 4박 1회/년 우선예약</t>
  </si>
  <si>
    <t xml:space="preserve">월 구독료 100%</t>
  </si>
  <si>
    <r>
      <rPr>
        <sz val="11"/>
        <color rgb="FF000000"/>
        <rFont val="Arial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명 추천 시</t>
    </r>
  </si>
  <si>
    <t xml:space="preserve">입문형</t>
  </si>
  <si>
    <t xml:space="preserve">크루즈 8박 1회 + 플랫폼 제휴</t>
  </si>
  <si>
    <t xml:space="preserve">구독료 150%</t>
  </si>
  <si>
    <r>
      <rPr>
        <sz val="11"/>
        <color rgb="FF000000"/>
        <rFont val="Arial"/>
        <family val="0"/>
        <charset val="1"/>
      </rPr>
      <t xml:space="preserve">7</t>
    </r>
    <r>
      <rPr>
        <sz val="11"/>
        <color rgb="FF000000"/>
        <rFont val="Noto Sans CJK SC"/>
        <family val="2"/>
      </rPr>
      <t xml:space="preserve">명 추천 시</t>
    </r>
  </si>
  <si>
    <t xml:space="preserve">성장형</t>
  </si>
  <si>
    <t xml:space="preserve">럭셔리 8박 + 전용라운지</t>
  </si>
  <si>
    <t xml:space="preserve">구독료 200%</t>
  </si>
  <si>
    <r>
      <rPr>
        <sz val="11"/>
        <color rgb="FF000000"/>
        <rFont val="Arial"/>
        <family val="0"/>
        <charset val="1"/>
      </rPr>
      <t xml:space="preserve">15</t>
    </r>
    <r>
      <rPr>
        <sz val="11"/>
        <color rgb="FF000000"/>
        <rFont val="Noto Sans CJK SC"/>
        <family val="2"/>
      </rPr>
      <t xml:space="preserve">명 추천 시</t>
    </r>
  </si>
  <si>
    <t xml:space="preserve">★ 프리미엄</t>
  </si>
  <si>
    <t xml:space="preserve">📋  시트 구성 안내</t>
  </si>
  <si>
    <t xml:space="preserve">🏠 대시보드</t>
  </si>
  <si>
    <t xml:space="preserve">전체 개요 및 핵심 지표</t>
  </si>
  <si>
    <t xml:space="preserve">💳 구독&amp;페이백</t>
  </si>
  <si>
    <t xml:space="preserve">★ 구독료 페이백 + 공짜여행 시뮬레이터</t>
  </si>
  <si>
    <t xml:space="preserve">🤝 조직설계</t>
  </si>
  <si>
    <t xml:space="preserve">★ 몇명 모집하면 내가 공짜? 조직도 시뮬레이션</t>
  </si>
  <si>
    <t xml:space="preserve">🔑 직급별 통합시뮬</t>
  </si>
  <si>
    <t xml:space="preserve">직급별 오버라이드+직접판매 통합</t>
  </si>
  <si>
    <t xml:space="preserve">💰 개인판매 수익</t>
  </si>
  <si>
    <t xml:space="preserve">크루즈·플랫폼·상조 직접판매 수수료</t>
  </si>
  <si>
    <t xml:space="preserve">🏗️ 오버라이드 구조</t>
  </si>
  <si>
    <t xml:space="preserve">팀 오버라이드 수수료 조직연금</t>
  </si>
  <si>
    <t xml:space="preserve">🌏 글로벌 벤치마크</t>
  </si>
  <si>
    <t xml:space="preserve">해외 유사모델 비교</t>
  </si>
  <si>
    <t xml:space="preserve">🎯 나만의 시뮬레이터</t>
  </si>
  <si>
    <t xml:space="preserve">개인 목표 → 수익 자동계산</t>
  </si>
  <si>
    <r>
      <rPr>
        <b val="true"/>
        <sz val="13"/>
        <color rgb="FF1B2A4A"/>
        <rFont val="Arial"/>
        <family val="0"/>
        <charset val="1"/>
      </rPr>
      <t xml:space="preserve">💡 "</t>
    </r>
    <r>
      <rPr>
        <b val="true"/>
        <sz val="13"/>
        <color rgb="FF1B2A4A"/>
        <rFont val="Noto Sans CJK SC"/>
        <family val="2"/>
      </rPr>
      <t xml:space="preserve">몇 명만 데려오면 내 여행이 공짜 — 더 많이 모으면 평생 연금형 수입</t>
    </r>
    <r>
      <rPr>
        <b val="true"/>
        <sz val="13"/>
        <color rgb="FF1B2A4A"/>
        <rFont val="Arial"/>
        <family val="0"/>
        <charset val="1"/>
      </rPr>
      <t xml:space="preserve">"</t>
    </r>
  </si>
  <si>
    <t xml:space="preserve">💳  구독 멤버십 × 페이백 × 공짜여행 시뮬레이터</t>
  </si>
  <si>
    <t xml:space="preserve">■ 파란색 셀 = 직접 수정   ■ 검정색 셀 = 자동계산   ★ 인크루즈형 구독 모델 완전 적용</t>
  </si>
  <si>
    <t xml:space="preserve">⚙️  핵심 가정 (파란색 셀 수정)</t>
  </si>
  <si>
    <t xml:space="preserve">구독 등급 선택</t>
  </si>
  <si>
    <r>
      <rPr>
        <b val="true"/>
        <sz val="10"/>
        <color rgb="FF000000"/>
        <rFont val="Arial"/>
        <family val="0"/>
        <charset val="1"/>
      </rPr>
      <t xml:space="preserve">Basic </t>
    </r>
    <r>
      <rPr>
        <b val="true"/>
        <sz val="10"/>
        <color rgb="FF000000"/>
        <rFont val="Noto Sans CJK SC"/>
        <family val="2"/>
      </rPr>
      <t xml:space="preserve">월 구독료</t>
    </r>
  </si>
  <si>
    <r>
      <rPr>
        <b val="true"/>
        <sz val="10"/>
        <color rgb="FF000000"/>
        <rFont val="Arial"/>
        <family val="0"/>
        <charset val="1"/>
      </rPr>
      <t xml:space="preserve">Pro </t>
    </r>
    <r>
      <rPr>
        <b val="true"/>
        <sz val="10"/>
        <color rgb="FF000000"/>
        <rFont val="Noto Sans CJK SC"/>
        <family val="2"/>
      </rPr>
      <t xml:space="preserve">월 구독료</t>
    </r>
  </si>
  <si>
    <r>
      <rPr>
        <b val="true"/>
        <sz val="10"/>
        <color rgb="FF000000"/>
        <rFont val="Arial"/>
        <family val="0"/>
        <charset val="1"/>
      </rPr>
      <t xml:space="preserve">VIP </t>
    </r>
    <r>
      <rPr>
        <b val="true"/>
        <sz val="10"/>
        <color rgb="FF000000"/>
        <rFont val="Noto Sans CJK SC"/>
        <family val="2"/>
      </rPr>
      <t xml:space="preserve">월 구독료</t>
    </r>
  </si>
  <si>
    <t xml:space="preserve">추천인 페이백률(Basic)</t>
  </si>
  <si>
    <t xml:space="preserve">추천인 페이백률(Pro)</t>
  </si>
  <si>
    <t xml:space="preserve">추천인 페이백률(VIP)</t>
  </si>
  <si>
    <t xml:space="preserve">크루즈 4박 원가</t>
  </si>
  <si>
    <t xml:space="preserve">크루즈 8박 원가</t>
  </si>
  <si>
    <t xml:space="preserve">럭셔리 8박 원가</t>
  </si>
  <si>
    <t xml:space="preserve">판매 수수료율</t>
  </si>
  <si>
    <t xml:space="preserve">상조 전환율</t>
  </si>
  <si>
    <r>
      <rPr>
        <b val="true"/>
        <sz val="12"/>
        <color rgb="FFFFFFFF"/>
        <rFont val="Arial"/>
        <family val="0"/>
        <charset val="1"/>
      </rPr>
      <t xml:space="preserve">A. </t>
    </r>
    <r>
      <rPr>
        <b val="true"/>
        <sz val="12"/>
        <color rgb="FFFFFFFF"/>
        <rFont val="Noto Sans CJK SC"/>
        <family val="2"/>
      </rPr>
      <t xml:space="preserve">내 구독료 </t>
    </r>
    <r>
      <rPr>
        <b val="true"/>
        <sz val="12"/>
        <color rgb="FFFFFFFF"/>
        <rFont val="Arial"/>
        <family val="0"/>
        <charset val="1"/>
      </rPr>
      <t xml:space="preserve">&amp; </t>
    </r>
    <r>
      <rPr>
        <b val="true"/>
        <sz val="12"/>
        <color rgb="FFFFFFFF"/>
        <rFont val="Noto Sans CJK SC"/>
        <family val="2"/>
      </rPr>
      <t xml:space="preserve">페이백 수익 계산</t>
    </r>
  </si>
  <si>
    <t xml:space="preserve">항목</t>
  </si>
  <si>
    <r>
      <rPr>
        <b val="true"/>
        <sz val="10"/>
        <color rgb="FFFFFFFF"/>
        <rFont val="Arial"/>
        <family val="0"/>
        <charset val="1"/>
      </rPr>
      <t xml:space="preserve">Basic (₩9,900/</t>
    </r>
    <r>
      <rPr>
        <b val="true"/>
        <sz val="10"/>
        <color rgb="FFFFFFFF"/>
        <rFont val="Noto Sans CJK SC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</si>
  <si>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Pro (₩33,000/</t>
    </r>
    <r>
      <rPr>
        <b val="true"/>
        <sz val="10"/>
        <color rgb="FFFFFFFF"/>
        <rFont val="Noto Sans CJK SC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</si>
  <si>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VIP (₩99,000/</t>
    </r>
    <r>
      <rPr>
        <b val="true"/>
        <sz val="10"/>
        <color rgb="FFFFFFFF"/>
        <rFont val="Noto Sans CJK SC"/>
        <family val="2"/>
      </rPr>
      <t xml:space="preserve">월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</si>
  <si>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설명</t>
  </si>
  <si>
    <t xml:space="preserve">본인 납부 구독료</t>
  </si>
  <si>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년 구독 총액</t>
    </r>
  </si>
  <si>
    <t xml:space="preserve">추천인 1명 페이백/월</t>
  </si>
  <si>
    <t xml:space="preserve">추천인 1명 데려올 때마다 내 구독료에서 차감</t>
  </si>
  <si>
    <t xml:space="preserve">공짜 달성 필요 추천인</t>
  </si>
  <si>
    <t xml:space="preserve">이 명수만 데려오면 내 구독료 0원!</t>
  </si>
  <si>
    <t xml:space="preserve">초과 추천인 월 수익</t>
  </si>
  <si>
    <t xml:space="preserve">공짜 달성 후 추가 추천인 1명당 수익</t>
  </si>
  <si>
    <t xml:space="preserve">추천인 10명 월 수익</t>
  </si>
  <si>
    <t xml:space="preserve">추천인 10명 유지 시 월 수익</t>
  </si>
  <si>
    <t xml:space="preserve">추천인 20명 월 수익</t>
  </si>
  <si>
    <t xml:space="preserve">추천인 20명 유지 시 월 수익</t>
  </si>
  <si>
    <t xml:space="preserve">추천인 50명 연간 수익</t>
  </si>
  <si>
    <t xml:space="preserve">추천인 50명 × 12개월</t>
  </si>
  <si>
    <r>
      <rPr>
        <b val="true"/>
        <sz val="13"/>
        <color rgb="FF1B2A4A"/>
        <rFont val="Arial"/>
        <family val="0"/>
        <charset val="1"/>
      </rPr>
      <t xml:space="preserve">B. ✈️  </t>
    </r>
    <r>
      <rPr>
        <b val="true"/>
        <sz val="13"/>
        <color rgb="FF1B2A4A"/>
        <rFont val="Noto Sans CJK SC"/>
        <family val="2"/>
      </rPr>
      <t xml:space="preserve">공짜여행 달성 시뮬레이터 — 몇 명 모집하면 내가 공짜</t>
    </r>
    <r>
      <rPr>
        <b val="true"/>
        <sz val="13"/>
        <color rgb="FF1B2A4A"/>
        <rFont val="Arial"/>
        <family val="0"/>
        <charset val="1"/>
      </rPr>
      <t xml:space="preserve">?</t>
    </r>
  </si>
  <si>
    <t xml:space="preserve">여행 상품</t>
  </si>
  <si>
    <t xml:space="preserve">여행 원가</t>
  </si>
  <si>
    <t xml:space="preserve">판매 수수료</t>
  </si>
  <si>
    <t xml:space="preserve">필요 판매 건수
(공짜 달성)</t>
  </si>
  <si>
    <t xml:space="preserve">필요 추천인 수
(구독 페이백)</t>
  </si>
  <si>
    <t xml:space="preserve">더 빠른 방법</t>
  </si>
  <si>
    <t xml:space="preserve">크루즈 4박 기본</t>
  </si>
  <si>
    <r>
      <rPr>
        <sz val="11"/>
        <color rgb="FF000000"/>
        <rFont val="Arial"/>
        <family val="0"/>
        <charset val="1"/>
      </rPr>
      <t xml:space="preserve">Basic </t>
    </r>
    <r>
      <rPr>
        <sz val="11"/>
        <color rgb="FF000000"/>
        <rFont val="Noto Sans CJK SC"/>
        <family val="2"/>
      </rPr>
      <t xml:space="preserve">구독자 </t>
    </r>
    <r>
      <rPr>
        <sz val="11"/>
        <color rgb="FF000000"/>
        <rFont val="Arial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명 추천 → 즉시 공짜</t>
    </r>
  </si>
  <si>
    <t xml:space="preserve">크루즈 4박 프리미엄</t>
  </si>
  <si>
    <r>
      <rPr>
        <sz val="11"/>
        <color rgb="FF000000"/>
        <rFont val="Arial"/>
        <family val="0"/>
        <charset val="1"/>
      </rPr>
      <t xml:space="preserve">Pro </t>
    </r>
    <r>
      <rPr>
        <sz val="11"/>
        <color rgb="FF000000"/>
        <rFont val="Noto Sans CJK SC"/>
        <family val="2"/>
      </rPr>
      <t xml:space="preserve">구독 </t>
    </r>
    <r>
      <rPr>
        <sz val="11"/>
        <color rgb="FF000000"/>
        <rFont val="Arial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명 → </t>
    </r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개월 공짜</t>
    </r>
  </si>
  <si>
    <t xml:space="preserve">크루즈 8박 기본</t>
  </si>
  <si>
    <r>
      <rPr>
        <sz val="11"/>
        <color rgb="FF000000"/>
        <rFont val="Arial"/>
        <family val="0"/>
        <charset val="1"/>
      </rPr>
      <t xml:space="preserve">Pro 7</t>
    </r>
    <r>
      <rPr>
        <sz val="11"/>
        <color rgb="FF000000"/>
        <rFont val="Noto Sans CJK SC"/>
        <family val="2"/>
      </rPr>
      <t xml:space="preserve">명 추천 → 공짜</t>
    </r>
  </si>
  <si>
    <t xml:space="preserve">크루즈 8박 프리미엄</t>
  </si>
  <si>
    <t xml:space="preserve">판매 10건 or 추천 15명</t>
  </si>
  <si>
    <t xml:space="preserve">크루즈 8박 럭셔리 ★</t>
  </si>
  <si>
    <r>
      <rPr>
        <sz val="11"/>
        <color rgb="FF000000"/>
        <rFont val="Arial"/>
        <family val="0"/>
        <charset val="1"/>
      </rPr>
      <t xml:space="preserve">VIP 15</t>
    </r>
    <r>
      <rPr>
        <sz val="11"/>
        <color rgb="FF000000"/>
        <rFont val="Noto Sans CJK SC"/>
        <family val="2"/>
      </rPr>
      <t xml:space="preserve">명 → 럭셔리 공짜</t>
    </r>
  </si>
  <si>
    <r>
      <rPr>
        <b val="true"/>
        <sz val="13"/>
        <color rgb="FFFFFFFF"/>
        <rFont val="Arial"/>
        <family val="0"/>
        <charset val="1"/>
      </rPr>
      <t xml:space="preserve">C. 🎫  </t>
    </r>
    <r>
      <rPr>
        <b val="true"/>
        <sz val="13"/>
        <color rgb="FFFFFFFF"/>
        <rFont val="Noto Sans CJK SC"/>
        <family val="2"/>
      </rPr>
      <t xml:space="preserve">내가 티케팅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Noto Sans CJK SC"/>
        <family val="2"/>
      </rPr>
      <t xml:space="preserve">판매</t>
    </r>
    <r>
      <rPr>
        <b val="true"/>
        <sz val="13"/>
        <color rgb="FFFFFFFF"/>
        <rFont val="Arial"/>
        <family val="0"/>
        <charset val="1"/>
      </rPr>
      <t xml:space="preserve">)</t>
    </r>
    <r>
      <rPr>
        <b val="true"/>
        <sz val="13"/>
        <color rgb="FFFFFFFF"/>
        <rFont val="Noto Sans CJK SC"/>
        <family val="2"/>
      </rPr>
      <t xml:space="preserve">한 것에 대한 페이백 구조</t>
    </r>
  </si>
  <si>
    <t xml:space="preserve">판매 채널</t>
  </si>
  <si>
    <t xml:space="preserve">건당 판매액</t>
  </si>
  <si>
    <t xml:space="preserve">기본 수수료</t>
  </si>
  <si>
    <t xml:space="preserve">추가 페이백
(구독자 특전)</t>
  </si>
  <si>
    <t xml:space="preserve">건당 총수익</t>
  </si>
  <si>
    <t xml:space="preserve">월 10건 수익</t>
  </si>
  <si>
    <t xml:space="preserve">월 20건 수익</t>
  </si>
  <si>
    <t xml:space="preserve">구독자 추가혜택</t>
  </si>
  <si>
    <t xml:space="preserve">크루즈 4박 판매</t>
  </si>
  <si>
    <r>
      <rPr>
        <sz val="11"/>
        <color rgb="FF000000"/>
        <rFont val="Arial"/>
        <family val="0"/>
        <charset val="1"/>
      </rPr>
      <t xml:space="preserve">Pro/VIP: +2% </t>
    </r>
    <r>
      <rPr>
        <sz val="11"/>
        <color rgb="FF000000"/>
        <rFont val="Noto Sans CJK SC"/>
        <family val="2"/>
      </rPr>
      <t xml:space="preserve">보너스</t>
    </r>
  </si>
  <si>
    <t xml:space="preserve">크루즈 8박 판매</t>
  </si>
  <si>
    <t xml:space="preserve">판매 누적 시 등급 UP</t>
  </si>
  <si>
    <t xml:space="preserve">크루즈 럭셔리</t>
  </si>
  <si>
    <r>
      <rPr>
        <sz val="11"/>
        <color rgb="FF000000"/>
        <rFont val="Arial"/>
        <family val="0"/>
        <charset val="1"/>
      </rPr>
      <t xml:space="preserve">VIP </t>
    </r>
    <r>
      <rPr>
        <sz val="11"/>
        <color rgb="FF000000"/>
        <rFont val="Noto Sans CJK SC"/>
        <family val="2"/>
      </rPr>
      <t xml:space="preserve">전용 </t>
    </r>
    <r>
      <rPr>
        <sz val="11"/>
        <color rgb="FF000000"/>
        <rFont val="Arial"/>
        <family val="0"/>
        <charset val="1"/>
      </rPr>
      <t xml:space="preserve">+3%</t>
    </r>
  </si>
  <si>
    <t xml:space="preserve">상조→크루즈 전환</t>
  </si>
  <si>
    <t xml:space="preserve">최고 수익원 ★</t>
  </si>
  <si>
    <t xml:space="preserve">마이리얼트립</t>
  </si>
  <si>
    <t xml:space="preserve">구독자 우선 배정</t>
  </si>
  <si>
    <r>
      <rPr>
        <b val="true"/>
        <sz val="11"/>
        <color rgb="FF000000"/>
        <rFont val="Arial"/>
        <family val="0"/>
        <charset val="1"/>
      </rPr>
      <t xml:space="preserve">Viator </t>
    </r>
    <r>
      <rPr>
        <b val="true"/>
        <sz val="11"/>
        <color rgb="FF000000"/>
        <rFont val="Noto Sans CJK SC"/>
        <family val="2"/>
      </rPr>
      <t xml:space="preserve">크루즈</t>
    </r>
  </si>
  <si>
    <t xml:space="preserve">글로벌 수요 1위</t>
  </si>
  <si>
    <t xml:space="preserve">아고다 호텔</t>
  </si>
  <si>
    <t xml:space="preserve">번들 제안 효과</t>
  </si>
  <si>
    <t xml:space="preserve">★ 내 월 판매(티케팅) 총 수익 합계</t>
  </si>
  <si>
    <t xml:space="preserve">건당 / 월10건 / 월20건</t>
  </si>
  <si>
    <r>
      <rPr>
        <b val="true"/>
        <sz val="13"/>
        <color rgb="FFFFFFFF"/>
        <rFont val="Arial"/>
        <family val="0"/>
        <charset val="1"/>
      </rPr>
      <t xml:space="preserve">D. 🌅  </t>
    </r>
    <r>
      <rPr>
        <b val="true"/>
        <sz val="13"/>
        <color rgb="FFFFFFFF"/>
        <rFont val="Noto Sans CJK SC"/>
        <family val="2"/>
      </rPr>
      <t xml:space="preserve">편안한 노후 — 연금형 수익 로드맵</t>
    </r>
  </si>
  <si>
    <t xml:space="preserve">연도</t>
  </si>
  <si>
    <t xml:space="preserve">누적 추천인</t>
  </si>
  <si>
    <t xml:space="preserve">구독 페이백
수익/월</t>
  </si>
  <si>
    <t xml:space="preserve">오버라이드
수익/월</t>
  </si>
  <si>
    <t xml:space="preserve">직접판매
수익/월</t>
  </si>
  <si>
    <t xml:space="preserve">월 총수익</t>
  </si>
  <si>
    <t xml:space="preserve">수익 등급</t>
  </si>
  <si>
    <r>
      <rPr>
        <b val="true"/>
        <sz val="11"/>
        <color rgb="FF000000"/>
        <rFont val="Arial"/>
        <family val="0"/>
        <charset val="1"/>
      </rPr>
      <t xml:space="preserve">1</t>
    </r>
    <r>
      <rPr>
        <b val="true"/>
        <sz val="11"/>
        <color rgb="FF000000"/>
        <rFont val="Noto Sans CJK SC"/>
        <family val="2"/>
      </rPr>
      <t xml:space="preserve">년차</t>
    </r>
  </si>
  <si>
    <t xml:space="preserve">🌱 스타터</t>
  </si>
  <si>
    <r>
      <rPr>
        <b val="true"/>
        <sz val="11"/>
        <color rgb="FF000000"/>
        <rFont val="Arial"/>
        <family val="0"/>
        <charset val="1"/>
      </rPr>
      <t xml:space="preserve">2</t>
    </r>
    <r>
      <rPr>
        <b val="true"/>
        <sz val="11"/>
        <color rgb="FF000000"/>
        <rFont val="Noto Sans CJK SC"/>
        <family val="2"/>
      </rPr>
      <t xml:space="preserve">년차</t>
    </r>
  </si>
  <si>
    <t xml:space="preserve">🥉 브론즈</t>
  </si>
  <si>
    <r>
      <rPr>
        <b val="true"/>
        <sz val="11"/>
        <color rgb="FF000000"/>
        <rFont val="Arial"/>
        <family val="0"/>
        <charset val="1"/>
      </rPr>
      <t xml:space="preserve">3</t>
    </r>
    <r>
      <rPr>
        <b val="true"/>
        <sz val="11"/>
        <color rgb="FF000000"/>
        <rFont val="Noto Sans CJK SC"/>
        <family val="2"/>
      </rPr>
      <t xml:space="preserve">년차</t>
    </r>
  </si>
  <si>
    <t xml:space="preserve">🥈 실버</t>
  </si>
  <si>
    <r>
      <rPr>
        <b val="true"/>
        <sz val="11"/>
        <color rgb="FF000000"/>
        <rFont val="Arial"/>
        <family val="0"/>
        <charset val="1"/>
      </rPr>
      <t xml:space="preserve">4</t>
    </r>
    <r>
      <rPr>
        <b val="true"/>
        <sz val="11"/>
        <color rgb="FF000000"/>
        <rFont val="Noto Sans CJK SC"/>
        <family val="2"/>
      </rPr>
      <t xml:space="preserve">년차</t>
    </r>
  </si>
  <si>
    <t xml:space="preserve">🥇 골드</t>
  </si>
  <si>
    <r>
      <rPr>
        <b val="true"/>
        <sz val="11"/>
        <color rgb="FF000000"/>
        <rFont val="Arial"/>
        <family val="0"/>
        <charset val="1"/>
      </rPr>
      <t xml:space="preserve">5</t>
    </r>
    <r>
      <rPr>
        <b val="true"/>
        <sz val="11"/>
        <color rgb="FF000000"/>
        <rFont val="Noto Sans CJK SC"/>
        <family val="2"/>
      </rPr>
      <t xml:space="preserve">년차</t>
    </r>
    <r>
      <rPr>
        <b val="true"/>
        <sz val="11"/>
        <color rgb="FF000000"/>
        <rFont val="Arial"/>
        <family val="0"/>
        <charset val="1"/>
      </rPr>
      <t xml:space="preserve">+</t>
    </r>
  </si>
  <si>
    <t xml:space="preserve">💎 다이아몬드</t>
  </si>
  <si>
    <r>
      <rPr>
        <b val="true"/>
        <sz val="13"/>
        <color rgb="FFC9A84C"/>
        <rFont val="Arial"/>
        <family val="0"/>
        <charset val="1"/>
      </rPr>
      <t xml:space="preserve">🏖️ "5</t>
    </r>
    <r>
      <rPr>
        <b val="true"/>
        <sz val="13"/>
        <color rgb="FFC9A84C"/>
        <rFont val="Noto Sans CJK SC"/>
        <family val="2"/>
      </rPr>
      <t xml:space="preserve">년 후 추천인 </t>
    </r>
    <r>
      <rPr>
        <b val="true"/>
        <sz val="13"/>
        <color rgb="FFC9A84C"/>
        <rFont val="Arial"/>
        <family val="0"/>
        <charset val="1"/>
      </rPr>
      <t xml:space="preserve">100</t>
    </r>
    <r>
      <rPr>
        <b val="true"/>
        <sz val="13"/>
        <color rgb="FFC9A84C"/>
        <rFont val="Noto Sans CJK SC"/>
        <family val="2"/>
      </rPr>
      <t xml:space="preserve">명 유지만으로 매월 자동 입금 — 여행 중에도</t>
    </r>
    <r>
      <rPr>
        <b val="true"/>
        <sz val="13"/>
        <color rgb="FFC9A84C"/>
        <rFont val="Arial"/>
        <family val="0"/>
        <charset val="1"/>
      </rPr>
      <t xml:space="preserve">, </t>
    </r>
    <r>
      <rPr>
        <b val="true"/>
        <sz val="13"/>
        <color rgb="FFC9A84C"/>
        <rFont val="Noto Sans CJK SC"/>
        <family val="2"/>
      </rPr>
      <t xml:space="preserve">잠자는 동안에도</t>
    </r>
    <r>
      <rPr>
        <b val="true"/>
        <sz val="13"/>
        <color rgb="FFC9A84C"/>
        <rFont val="Arial"/>
        <family val="0"/>
        <charset val="1"/>
      </rPr>
      <t xml:space="preserve">"</t>
    </r>
  </si>
  <si>
    <t xml:space="preserve">🤝  조직설계 &amp; 리크루팅 시뮬레이션 — 몇 명 모집하면 내가 공짜? 그리고 편안한 노후?</t>
  </si>
  <si>
    <t xml:space="preserve">■ 파란색 셀 = 직접 수정   ■ 검정색 = 자동계산   ★ 조직 구조를 설계하고 수익을 시뮬레이션하세요</t>
  </si>
  <si>
    <t xml:space="preserve">⚙️  조직 핵심 가정</t>
  </si>
  <si>
    <t xml:space="preserve">내 구독 등급</t>
  </si>
  <si>
    <t xml:space="preserve">내 월 구독료</t>
  </si>
  <si>
    <t xml:space="preserve">팀원 평균 월판매액</t>
  </si>
  <si>
    <t xml:space="preserve">오버라이드율(팀원 판매)</t>
  </si>
  <si>
    <t xml:space="preserve">팀원 평균 구독료</t>
  </si>
  <si>
    <r>
      <rPr>
        <b val="true"/>
        <sz val="13"/>
        <color rgb="FF1B2A4A"/>
        <rFont val="Arial"/>
        <family val="0"/>
        <charset val="1"/>
      </rPr>
      <t xml:space="preserve">A. ✈️  </t>
    </r>
    <r>
      <rPr>
        <b val="true"/>
        <sz val="13"/>
        <color rgb="FF1B2A4A"/>
        <rFont val="Noto Sans CJK SC"/>
        <family val="2"/>
      </rPr>
      <t xml:space="preserve">몇 명 모집하면 내 구독료 </t>
    </r>
    <r>
      <rPr>
        <b val="true"/>
        <sz val="13"/>
        <color rgb="FF1B2A4A"/>
        <rFont val="Arial"/>
        <family val="0"/>
        <charset val="1"/>
      </rPr>
      <t xml:space="preserve">= 0</t>
    </r>
    <r>
      <rPr>
        <b val="true"/>
        <sz val="13"/>
        <color rgb="FF1B2A4A"/>
        <rFont val="Noto Sans CJK SC"/>
        <family val="2"/>
      </rPr>
      <t xml:space="preserve">원 </t>
    </r>
    <r>
      <rPr>
        <b val="true"/>
        <sz val="13"/>
        <color rgb="FF1B2A4A"/>
        <rFont val="Arial"/>
        <family val="0"/>
        <charset val="1"/>
      </rPr>
      <t xml:space="preserve">(</t>
    </r>
    <r>
      <rPr>
        <b val="true"/>
        <sz val="13"/>
        <color rgb="FF1B2A4A"/>
        <rFont val="Noto Sans CJK SC"/>
        <family val="2"/>
      </rPr>
      <t xml:space="preserve">공짜여행</t>
    </r>
    <r>
      <rPr>
        <b val="true"/>
        <sz val="13"/>
        <color rgb="FF1B2A4A"/>
        <rFont val="Arial"/>
        <family val="0"/>
        <charset val="1"/>
      </rPr>
      <t xml:space="preserve">)?</t>
    </r>
  </si>
  <si>
    <t xml:space="preserve">시나리오</t>
  </si>
  <si>
    <t xml:space="preserve">모집 인원</t>
  </si>
  <si>
    <t xml:space="preserve">월 페이백
수익</t>
  </si>
  <si>
    <t xml:space="preserve">내 구독료</t>
  </si>
  <si>
    <t xml:space="preserve">순 이익
(페이백-구독료)</t>
  </si>
  <si>
    <t xml:space="preserve">공짜 달성?</t>
  </si>
  <si>
    <t xml:space="preserve">연간 순이익</t>
  </si>
  <si>
    <t xml:space="preserve">여행 혜택 수준</t>
  </si>
  <si>
    <r>
      <rPr>
        <b val="true"/>
        <sz val="11"/>
        <color rgb="FF000000"/>
        <rFont val="Arial"/>
        <family val="0"/>
        <charset val="1"/>
      </rPr>
      <t xml:space="preserve">1</t>
    </r>
    <r>
      <rPr>
        <b val="true"/>
        <sz val="11"/>
        <color rgb="FF000000"/>
        <rFont val="Noto Sans CJK SC"/>
        <family val="2"/>
      </rPr>
      <t xml:space="preserve">명 모집</t>
    </r>
  </si>
  <si>
    <t xml:space="preserve">기본 혜택 유지</t>
  </si>
  <si>
    <r>
      <rPr>
        <b val="true"/>
        <sz val="11"/>
        <color rgb="FF000000"/>
        <rFont val="Arial"/>
        <family val="0"/>
        <charset val="1"/>
      </rPr>
      <t xml:space="preserve">3</t>
    </r>
    <r>
      <rPr>
        <b val="true"/>
        <sz val="11"/>
        <color rgb="FF000000"/>
        <rFont val="Noto Sans CJK SC"/>
        <family val="2"/>
      </rPr>
      <t xml:space="preserve">명 모집</t>
    </r>
  </si>
  <si>
    <r>
      <rPr>
        <sz val="11"/>
        <color rgb="FF000000"/>
        <rFont val="Arial"/>
        <family val="0"/>
        <charset val="1"/>
      </rPr>
      <t xml:space="preserve">✅ Basic </t>
    </r>
    <r>
      <rPr>
        <sz val="11"/>
        <color rgb="FF000000"/>
        <rFont val="Noto Sans CJK SC"/>
        <family val="2"/>
      </rPr>
      <t xml:space="preserve">구독 공짜 달성</t>
    </r>
    <r>
      <rPr>
        <sz val="11"/>
        <color rgb="FF000000"/>
        <rFont val="Arial"/>
        <family val="0"/>
        <charset val="1"/>
      </rPr>
      <t xml:space="preserve">!</t>
    </r>
  </si>
  <si>
    <r>
      <rPr>
        <b val="true"/>
        <sz val="11"/>
        <color rgb="FF000000"/>
        <rFont val="Arial"/>
        <family val="0"/>
        <charset val="1"/>
      </rPr>
      <t xml:space="preserve">5</t>
    </r>
    <r>
      <rPr>
        <b val="true"/>
        <sz val="11"/>
        <color rgb="FF000000"/>
        <rFont val="Noto Sans CJK SC"/>
        <family val="2"/>
      </rPr>
      <t xml:space="preserve">명 모집</t>
    </r>
  </si>
  <si>
    <r>
      <rPr>
        <sz val="11"/>
        <color rgb="FF000000"/>
        <rFont val="Arial"/>
        <family val="0"/>
        <charset val="1"/>
      </rPr>
      <t xml:space="preserve">✅ Basic </t>
    </r>
    <r>
      <rPr>
        <sz val="11"/>
        <color rgb="FF000000"/>
        <rFont val="Noto Sans CJK SC"/>
        <family val="2"/>
      </rPr>
      <t xml:space="preserve">공짜 </t>
    </r>
    <r>
      <rPr>
        <sz val="11"/>
        <color rgb="FF000000"/>
        <rFont val="Arial"/>
        <family val="0"/>
        <charset val="1"/>
      </rPr>
      <t xml:space="preserve">+ </t>
    </r>
    <r>
      <rPr>
        <sz val="11"/>
        <color rgb="FF000000"/>
        <rFont val="Noto Sans CJK SC"/>
        <family val="2"/>
      </rPr>
      <t xml:space="preserve">소액 수익</t>
    </r>
  </si>
  <si>
    <r>
      <rPr>
        <b val="true"/>
        <sz val="11"/>
        <color rgb="FF000000"/>
        <rFont val="Arial"/>
        <family val="0"/>
        <charset val="1"/>
      </rPr>
      <t xml:space="preserve">7</t>
    </r>
    <r>
      <rPr>
        <b val="true"/>
        <sz val="11"/>
        <color rgb="FF000000"/>
        <rFont val="Noto Sans CJK SC"/>
        <family val="2"/>
      </rPr>
      <t xml:space="preserve">명 모집</t>
    </r>
  </si>
  <si>
    <r>
      <rPr>
        <sz val="11"/>
        <color rgb="FF000000"/>
        <rFont val="Arial"/>
        <family val="0"/>
        <charset val="1"/>
      </rPr>
      <t xml:space="preserve">✅ Pro </t>
    </r>
    <r>
      <rPr>
        <sz val="11"/>
        <color rgb="FF000000"/>
        <rFont val="Noto Sans CJK SC"/>
        <family val="2"/>
      </rPr>
      <t xml:space="preserve">구독 공짜 달성</t>
    </r>
    <r>
      <rPr>
        <sz val="11"/>
        <color rgb="FF000000"/>
        <rFont val="Arial"/>
        <family val="0"/>
        <charset val="1"/>
      </rPr>
      <t xml:space="preserve">!</t>
    </r>
  </si>
  <si>
    <r>
      <rPr>
        <b val="true"/>
        <sz val="11"/>
        <color rgb="FF000000"/>
        <rFont val="Arial"/>
        <family val="0"/>
        <charset val="1"/>
      </rPr>
      <t xml:space="preserve">10</t>
    </r>
    <r>
      <rPr>
        <b val="true"/>
        <sz val="11"/>
        <color rgb="FF000000"/>
        <rFont val="Noto Sans CJK SC"/>
        <family val="2"/>
      </rPr>
      <t xml:space="preserve">명 모집</t>
    </r>
  </si>
  <si>
    <t xml:space="preserve">💰 크루즈 4박 공짜 수준</t>
  </si>
  <si>
    <r>
      <rPr>
        <b val="true"/>
        <sz val="11"/>
        <color rgb="FF000000"/>
        <rFont val="Arial"/>
        <family val="0"/>
        <charset val="1"/>
      </rPr>
      <t xml:space="preserve">15</t>
    </r>
    <r>
      <rPr>
        <b val="true"/>
        <sz val="11"/>
        <color rgb="FF000000"/>
        <rFont val="Noto Sans CJK SC"/>
        <family val="2"/>
      </rPr>
      <t xml:space="preserve">명 모집</t>
    </r>
  </si>
  <si>
    <t xml:space="preserve">💰 크루즈 8박 공짜 수준</t>
  </si>
  <si>
    <r>
      <rPr>
        <b val="true"/>
        <sz val="11"/>
        <color rgb="FF000000"/>
        <rFont val="Arial"/>
        <family val="0"/>
        <charset val="1"/>
      </rPr>
      <t xml:space="preserve">20</t>
    </r>
    <r>
      <rPr>
        <b val="true"/>
        <sz val="11"/>
        <color rgb="FF000000"/>
        <rFont val="Noto Sans CJK SC"/>
        <family val="2"/>
      </rPr>
      <t xml:space="preserve">명 모집</t>
    </r>
  </si>
  <si>
    <t xml:space="preserve">🌟 럭셔리 여행 + 용돈</t>
  </si>
  <si>
    <r>
      <rPr>
        <b val="true"/>
        <sz val="11"/>
        <color rgb="FF000000"/>
        <rFont val="Arial"/>
        <family val="0"/>
        <charset val="1"/>
      </rPr>
      <t xml:space="preserve">30</t>
    </r>
    <r>
      <rPr>
        <b val="true"/>
        <sz val="11"/>
        <color rgb="FF000000"/>
        <rFont val="Noto Sans CJK SC"/>
        <family val="2"/>
      </rPr>
      <t xml:space="preserve">명 모집</t>
    </r>
  </si>
  <si>
    <t xml:space="preserve">🌟 월 수십만 자동수익</t>
  </si>
  <si>
    <r>
      <rPr>
        <b val="true"/>
        <sz val="11"/>
        <color rgb="FF000000"/>
        <rFont val="Arial"/>
        <family val="0"/>
        <charset val="1"/>
      </rPr>
      <t xml:space="preserve">50</t>
    </r>
    <r>
      <rPr>
        <b val="true"/>
        <sz val="11"/>
        <color rgb="FF000000"/>
        <rFont val="Noto Sans CJK SC"/>
        <family val="2"/>
      </rPr>
      <t xml:space="preserve">명 모집</t>
    </r>
  </si>
  <si>
    <t xml:space="preserve">💎 완전 불로소득 시작</t>
  </si>
  <si>
    <r>
      <rPr>
        <b val="true"/>
        <sz val="13"/>
        <color rgb="FFFFFFFF"/>
        <rFont val="Arial"/>
        <family val="0"/>
        <charset val="1"/>
      </rPr>
      <t xml:space="preserve">B. 🏗️  </t>
    </r>
    <r>
      <rPr>
        <b val="true"/>
        <sz val="13"/>
        <color rgb="FFFFFFFF"/>
        <rFont val="Noto Sans CJK SC"/>
        <family val="2"/>
      </rPr>
      <t xml:space="preserve">조직 구조 설계 시뮬레이션 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Noto Sans CJK SC"/>
        <family val="2"/>
      </rPr>
      <t xml:space="preserve">나 → 팀 → 조직</t>
    </r>
    <r>
      <rPr>
        <b val="true"/>
        <sz val="13"/>
        <color rgb="FFFFFFFF"/>
        <rFont val="Arial"/>
        <family val="0"/>
        <charset val="1"/>
      </rPr>
      <t xml:space="preserve">)</t>
    </r>
  </si>
  <si>
    <t xml:space="preserve">조직 레벨</t>
  </si>
  <si>
    <t xml:space="preserve">단계명</t>
  </si>
  <si>
    <t xml:space="preserve">인원 수
(직접 수정)</t>
  </si>
  <si>
    <t xml:space="preserve">레벨별
월판매총액</t>
  </si>
  <si>
    <t xml:space="preserve">내 오버라이드
수익/월</t>
  </si>
  <si>
    <t xml:space="preserve">팀원 구독료
수익/월</t>
  </si>
  <si>
    <t xml:space="preserve">레벨 합계
월수익</t>
  </si>
  <si>
    <t xml:space="preserve">나 (L1~본인)</t>
  </si>
  <si>
    <t xml:space="preserve">직접 판매</t>
  </si>
  <si>
    <t xml:space="preserve">본인 직접 판매 수익</t>
  </si>
  <si>
    <r>
      <rPr>
        <b val="true"/>
        <sz val="11"/>
        <color rgb="FF000000"/>
        <rFont val="Arial"/>
        <family val="0"/>
        <charset val="1"/>
      </rPr>
      <t xml:space="preserve">1</t>
    </r>
    <r>
      <rPr>
        <b val="true"/>
        <sz val="11"/>
        <color rgb="FF000000"/>
        <rFont val="Noto Sans CJK SC"/>
        <family val="2"/>
      </rPr>
      <t xml:space="preserve">단계 팀원</t>
    </r>
  </si>
  <si>
    <t xml:space="preserve">직접 추천</t>
  </si>
  <si>
    <t xml:space="preserve">내가 직접 추천한 사람</t>
  </si>
  <si>
    <r>
      <rPr>
        <b val="true"/>
        <sz val="11"/>
        <color rgb="FF000000"/>
        <rFont val="Arial"/>
        <family val="0"/>
        <charset val="1"/>
      </rPr>
      <t xml:space="preserve">2</t>
    </r>
    <r>
      <rPr>
        <b val="true"/>
        <sz val="11"/>
        <color rgb="FF000000"/>
        <rFont val="Noto Sans CJK SC"/>
        <family val="2"/>
      </rPr>
      <t xml:space="preserve">단계 팀원</t>
    </r>
  </si>
  <si>
    <t xml:space="preserve">팀원의 팀</t>
  </si>
  <si>
    <t xml:space="preserve">팀원이 추천한 사람 (70% 배분)</t>
  </si>
  <si>
    <r>
      <rPr>
        <b val="true"/>
        <sz val="11"/>
        <color rgb="FF000000"/>
        <rFont val="Arial"/>
        <family val="0"/>
        <charset val="1"/>
      </rPr>
      <t xml:space="preserve">3</t>
    </r>
    <r>
      <rPr>
        <b val="true"/>
        <sz val="11"/>
        <color rgb="FF000000"/>
        <rFont val="Noto Sans CJK SC"/>
        <family val="2"/>
      </rPr>
      <t xml:space="preserve">단계 팀원</t>
    </r>
  </si>
  <si>
    <t xml:space="preserve">확장 조직</t>
  </si>
  <si>
    <t xml:space="preserve">확장 조직 (50% 배분)</t>
  </si>
  <si>
    <r>
      <rPr>
        <b val="true"/>
        <sz val="11"/>
        <color rgb="FF000000"/>
        <rFont val="Arial"/>
        <family val="0"/>
        <charset val="1"/>
      </rPr>
      <t xml:space="preserve">4</t>
    </r>
    <r>
      <rPr>
        <b val="true"/>
        <sz val="11"/>
        <color rgb="FF000000"/>
        <rFont val="Noto Sans CJK SC"/>
        <family val="2"/>
      </rPr>
      <t xml:space="preserve">단계</t>
    </r>
    <r>
      <rPr>
        <b val="true"/>
        <sz val="11"/>
        <color rgb="FF000000"/>
        <rFont val="Arial"/>
        <family val="0"/>
        <charset val="1"/>
      </rPr>
      <t xml:space="preserve">+</t>
    </r>
  </si>
  <si>
    <t xml:space="preserve">전국 조직</t>
  </si>
  <si>
    <t xml:space="preserve">전국 조직 (30% 배분)</t>
  </si>
  <si>
    <t xml:space="preserve">📊 조직 전체 합계</t>
  </si>
  <si>
    <t xml:space="preserve">총 인원: </t>
  </si>
  <si>
    <t xml:space="preserve">전체 월수익</t>
  </si>
  <si>
    <r>
      <rPr>
        <b val="true"/>
        <sz val="13"/>
        <color rgb="FFFFFFFF"/>
        <rFont val="Arial"/>
        <family val="0"/>
        <charset val="1"/>
      </rPr>
      <t xml:space="preserve">C. 📅  </t>
    </r>
    <r>
      <rPr>
        <b val="true"/>
        <sz val="13"/>
        <color rgb="FFFFFFFF"/>
        <rFont val="Noto Sans CJK SC"/>
        <family val="2"/>
      </rPr>
      <t xml:space="preserve">성장 로드맵 — 월별 리크루팅 목표</t>
    </r>
  </si>
  <si>
    <t xml:space="preserve">기간</t>
  </si>
  <si>
    <t xml:space="preserve">월 목표
리크루팅</t>
  </si>
  <si>
    <t xml:space="preserve">예상 월수익</t>
  </si>
  <si>
    <t xml:space="preserve">핵심 액션</t>
  </si>
  <si>
    <r>
      <rPr>
        <b val="true"/>
        <sz val="11"/>
        <color rgb="FF000000"/>
        <rFont val="Arial"/>
        <family val="0"/>
        <charset val="1"/>
      </rPr>
      <t xml:space="preserve">1</t>
    </r>
    <r>
      <rPr>
        <b val="true"/>
        <sz val="11"/>
        <color rgb="FF000000"/>
        <rFont val="Noto Sans CJK SC"/>
        <family val="2"/>
      </rPr>
      <t xml:space="preserve">개월</t>
    </r>
  </si>
  <si>
    <r>
      <rPr>
        <sz val="11"/>
        <color rgb="FF000000"/>
        <rFont val="Arial"/>
        <family val="0"/>
        <charset val="1"/>
      </rPr>
      <t xml:space="preserve">L1 </t>
    </r>
    <r>
      <rPr>
        <sz val="11"/>
        <color rgb="FF000000"/>
        <rFont val="Noto Sans CJK SC"/>
        <family val="2"/>
      </rPr>
      <t xml:space="preserve">어드바이저</t>
    </r>
  </si>
  <si>
    <r>
      <rPr>
        <sz val="11"/>
        <color rgb="FF000000"/>
        <rFont val="Arial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명 추천 → </t>
    </r>
    <r>
      <rPr>
        <sz val="11"/>
        <color rgb="FF000000"/>
        <rFont val="Arial"/>
        <family val="0"/>
        <charset val="1"/>
      </rPr>
      <t xml:space="preserve">Basic </t>
    </r>
    <r>
      <rPr>
        <sz val="11"/>
        <color rgb="FF000000"/>
        <rFont val="Noto Sans CJK SC"/>
        <family val="2"/>
      </rPr>
      <t xml:space="preserve">공짜 달성</t>
    </r>
    <r>
      <rPr>
        <sz val="11"/>
        <color rgb="FF000000"/>
        <rFont val="Arial"/>
        <family val="0"/>
        <charset val="1"/>
      </rPr>
      <t xml:space="preserve">! </t>
    </r>
    <r>
      <rPr>
        <sz val="11"/>
        <color rgb="FF000000"/>
        <rFont val="Noto Sans CJK SC"/>
        <family val="2"/>
      </rPr>
      <t xml:space="preserve">상조 전환 </t>
    </r>
    <r>
      <rPr>
        <sz val="11"/>
        <color rgb="FF000000"/>
        <rFont val="Arial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건</t>
    </r>
  </si>
  <si>
    <r>
      <rPr>
        <b val="true"/>
        <sz val="11"/>
        <color rgb="FF000000"/>
        <rFont val="Arial"/>
        <family val="0"/>
        <charset val="1"/>
      </rPr>
      <t xml:space="preserve">3</t>
    </r>
    <r>
      <rPr>
        <b val="true"/>
        <sz val="11"/>
        <color rgb="FF000000"/>
        <rFont val="Noto Sans CJK SC"/>
        <family val="2"/>
      </rPr>
      <t xml:space="preserve">개월</t>
    </r>
  </si>
  <si>
    <r>
      <rPr>
        <sz val="11"/>
        <color rgb="FF000000"/>
        <rFont val="Arial"/>
        <family val="0"/>
        <charset val="1"/>
      </rPr>
      <t xml:space="preserve">L1→L2 </t>
    </r>
    <r>
      <rPr>
        <sz val="11"/>
        <color rgb="FF000000"/>
        <rFont val="Noto Sans CJK SC"/>
        <family val="2"/>
      </rPr>
      <t xml:space="preserve">전환</t>
    </r>
  </si>
  <si>
    <t xml:space="preserve">판매 루틴 완성, SNS 채널 개설</t>
  </si>
  <si>
    <r>
      <rPr>
        <b val="true"/>
        <sz val="11"/>
        <color rgb="FF000000"/>
        <rFont val="Arial"/>
        <family val="0"/>
        <charset val="1"/>
      </rPr>
      <t xml:space="preserve">6</t>
    </r>
    <r>
      <rPr>
        <b val="true"/>
        <sz val="11"/>
        <color rgb="FF000000"/>
        <rFont val="Noto Sans CJK SC"/>
        <family val="2"/>
      </rPr>
      <t xml:space="preserve">개월</t>
    </r>
  </si>
  <si>
    <r>
      <rPr>
        <sz val="11"/>
        <color rgb="FF000000"/>
        <rFont val="Arial"/>
        <family val="0"/>
        <charset val="1"/>
      </rPr>
      <t xml:space="preserve">L2 </t>
    </r>
    <r>
      <rPr>
        <sz val="11"/>
        <color rgb="FF000000"/>
        <rFont val="Noto Sans CJK SC"/>
        <family val="2"/>
      </rPr>
      <t xml:space="preserve">시니어</t>
    </r>
  </si>
  <si>
    <t xml:space="preserve">★ 첫 크루즈 8박 공짜 달성! 팀 미팅 운영</t>
  </si>
  <si>
    <r>
      <rPr>
        <b val="true"/>
        <sz val="11"/>
        <color rgb="FF000000"/>
        <rFont val="Arial"/>
        <family val="0"/>
        <charset val="1"/>
      </rPr>
      <t xml:space="preserve">12</t>
    </r>
    <r>
      <rPr>
        <b val="true"/>
        <sz val="11"/>
        <color rgb="FF000000"/>
        <rFont val="Noto Sans CJK SC"/>
        <family val="2"/>
      </rPr>
      <t xml:space="preserve">개월</t>
    </r>
  </si>
  <si>
    <r>
      <rPr>
        <sz val="11"/>
        <color rgb="FF000000"/>
        <rFont val="Arial"/>
        <family val="0"/>
        <charset val="1"/>
      </rPr>
      <t xml:space="preserve">L3 </t>
    </r>
    <r>
      <rPr>
        <sz val="11"/>
        <color rgb="FF000000"/>
        <rFont val="Noto Sans CJK SC"/>
        <family val="2"/>
      </rPr>
      <t xml:space="preserve">매니저</t>
    </r>
  </si>
  <si>
    <t xml:space="preserve">팀원 L2 배출, 오버라이드 수익 본격화</t>
  </si>
  <si>
    <r>
      <rPr>
        <b val="true"/>
        <sz val="11"/>
        <color rgb="FF000000"/>
        <rFont val="Arial"/>
        <family val="0"/>
        <charset val="1"/>
      </rPr>
      <t xml:space="preserve">18</t>
    </r>
    <r>
      <rPr>
        <b val="true"/>
        <sz val="11"/>
        <color rgb="FF000000"/>
        <rFont val="Noto Sans CJK SC"/>
        <family val="2"/>
      </rPr>
      <t xml:space="preserve">개월</t>
    </r>
  </si>
  <si>
    <r>
      <rPr>
        <sz val="11"/>
        <color rgb="FF000000"/>
        <rFont val="Arial"/>
        <family val="0"/>
        <charset val="1"/>
      </rPr>
      <t xml:space="preserve">L3→L4 </t>
    </r>
    <r>
      <rPr>
        <sz val="11"/>
        <color rgb="FF000000"/>
        <rFont val="Noto Sans CJK SC"/>
        <family val="2"/>
      </rPr>
      <t xml:space="preserve">전환</t>
    </r>
  </si>
  <si>
    <r>
      <rPr>
        <sz val="11"/>
        <color rgb="FF000000"/>
        <rFont val="Arial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단계 조직 구축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설명회 월 </t>
    </r>
    <r>
      <rPr>
        <sz val="11"/>
        <color rgb="FF000000"/>
        <rFont val="Arial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회</t>
    </r>
  </si>
  <si>
    <r>
      <rPr>
        <b val="true"/>
        <sz val="11"/>
        <color rgb="FF000000"/>
        <rFont val="Arial"/>
        <family val="0"/>
        <charset val="1"/>
      </rPr>
      <t xml:space="preserve">24</t>
    </r>
    <r>
      <rPr>
        <b val="true"/>
        <sz val="11"/>
        <color rgb="FF000000"/>
        <rFont val="Noto Sans CJK SC"/>
        <family val="2"/>
      </rPr>
      <t xml:space="preserve">개월</t>
    </r>
  </si>
  <si>
    <r>
      <rPr>
        <sz val="11"/>
        <color rgb="FF000000"/>
        <rFont val="Arial"/>
        <family val="0"/>
        <charset val="1"/>
      </rPr>
      <t xml:space="preserve">L4 </t>
    </r>
    <r>
      <rPr>
        <sz val="11"/>
        <color rgb="FF000000"/>
        <rFont val="Noto Sans CJK SC"/>
        <family val="2"/>
      </rPr>
      <t xml:space="preserve">디렉터</t>
    </r>
  </si>
  <si>
    <t xml:space="preserve">연간 6억+ 수익, 완전 반자동 구조</t>
  </si>
  <si>
    <r>
      <rPr>
        <b val="true"/>
        <sz val="11"/>
        <color rgb="FF000000"/>
        <rFont val="Arial"/>
        <family val="0"/>
        <charset val="1"/>
      </rPr>
      <t xml:space="preserve">36</t>
    </r>
    <r>
      <rPr>
        <b val="true"/>
        <sz val="11"/>
        <color rgb="FF000000"/>
        <rFont val="Noto Sans CJK SC"/>
        <family val="2"/>
      </rPr>
      <t xml:space="preserve">개월</t>
    </r>
  </si>
  <si>
    <t xml:space="preserve">L5 VP</t>
  </si>
  <si>
    <t xml:space="preserve">💎 전국 조직 완성, 완전 불로소득 실현</t>
  </si>
  <si>
    <r>
      <rPr>
        <b val="true"/>
        <sz val="14"/>
        <color rgb="FFC9A84C"/>
        <rFont val="Arial"/>
        <family val="0"/>
        <charset val="1"/>
      </rPr>
      <t xml:space="preserve">🎯 "3</t>
    </r>
    <r>
      <rPr>
        <b val="true"/>
        <sz val="14"/>
        <color rgb="FFC9A84C"/>
        <rFont val="Noto Sans CJK SC"/>
        <family val="2"/>
      </rPr>
      <t xml:space="preserve">명 → 내 공짜여행  </t>
    </r>
    <r>
      <rPr>
        <b val="true"/>
        <sz val="14"/>
        <color rgb="FFC9A84C"/>
        <rFont val="Arial"/>
        <family val="0"/>
        <charset val="1"/>
      </rPr>
      <t xml:space="preserve">|  10</t>
    </r>
    <r>
      <rPr>
        <b val="true"/>
        <sz val="14"/>
        <color rgb="FFC9A84C"/>
        <rFont val="Noto Sans CJK SC"/>
        <family val="2"/>
      </rPr>
      <t xml:space="preserve">명 → 용돈  </t>
    </r>
    <r>
      <rPr>
        <b val="true"/>
        <sz val="14"/>
        <color rgb="FFC9A84C"/>
        <rFont val="Arial"/>
        <family val="0"/>
        <charset val="1"/>
      </rPr>
      <t xml:space="preserve">|  30</t>
    </r>
    <r>
      <rPr>
        <b val="true"/>
        <sz val="14"/>
        <color rgb="FFC9A84C"/>
        <rFont val="Noto Sans CJK SC"/>
        <family val="2"/>
      </rPr>
      <t xml:space="preserve">명 → 월급  </t>
    </r>
    <r>
      <rPr>
        <b val="true"/>
        <sz val="14"/>
        <color rgb="FFC9A84C"/>
        <rFont val="Arial"/>
        <family val="0"/>
        <charset val="1"/>
      </rPr>
      <t xml:space="preserve">|  100</t>
    </r>
    <r>
      <rPr>
        <b val="true"/>
        <sz val="14"/>
        <color rgb="FFC9A84C"/>
        <rFont val="Noto Sans CJK SC"/>
        <family val="2"/>
      </rPr>
      <t xml:space="preserve">명</t>
    </r>
    <r>
      <rPr>
        <b val="true"/>
        <sz val="14"/>
        <color rgb="FFC9A84C"/>
        <rFont val="Arial"/>
        <family val="0"/>
        <charset val="1"/>
      </rPr>
      <t xml:space="preserve">+ → </t>
    </r>
    <r>
      <rPr>
        <b val="true"/>
        <sz val="14"/>
        <color rgb="FFC9A84C"/>
        <rFont val="Noto Sans CJK SC"/>
        <family val="2"/>
      </rPr>
      <t xml:space="preserve">완전 연금형 노후</t>
    </r>
    <r>
      <rPr>
        <b val="true"/>
        <sz val="14"/>
        <color rgb="FFC9A84C"/>
        <rFont val="Arial"/>
        <family val="0"/>
        <charset val="1"/>
      </rPr>
      <t xml:space="preserve">"</t>
    </r>
  </si>
  <si>
    <t xml:space="preserve">🔑  직급별 통합 수익 시뮬레이션  (오버라이드 + 직접판매 + 구독료 + 페이백 완전 통합)</t>
  </si>
  <si>
    <t xml:space="preserve">■ 파란색 = 입력   ■ 검정 = 계산   ■ 초록 = 타 시트 연결   ★ v5: 페이백 수익 추가</t>
  </si>
  <si>
    <t xml:space="preserve">⚙️  핵심 가정</t>
  </si>
  <si>
    <t xml:space="preserve">제휴수수료율(GYG)</t>
  </si>
  <si>
    <t xml:space="preserve">제휴수수료율(Trip)</t>
  </si>
  <si>
    <t xml:space="preserve">오버라이드 배분율</t>
  </si>
  <si>
    <t xml:space="preserve">운영비율(OpEx)</t>
  </si>
  <si>
    <r>
      <rPr>
        <b val="true"/>
        <sz val="10"/>
        <color rgb="FF000000"/>
        <rFont val="Arial"/>
        <family val="0"/>
        <charset val="1"/>
      </rPr>
      <t xml:space="preserve">Basic </t>
    </r>
    <r>
      <rPr>
        <b val="true"/>
        <sz val="10"/>
        <color rgb="FF000000"/>
        <rFont val="Noto Sans CJK SC"/>
        <family val="2"/>
      </rPr>
      <t xml:space="preserve">구독료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월</t>
    </r>
  </si>
  <si>
    <r>
      <rPr>
        <b val="true"/>
        <sz val="10"/>
        <color rgb="FF000000"/>
        <rFont val="Arial"/>
        <family val="0"/>
        <charset val="1"/>
      </rPr>
      <t xml:space="preserve">Pro </t>
    </r>
    <r>
      <rPr>
        <b val="true"/>
        <sz val="10"/>
        <color rgb="FF000000"/>
        <rFont val="Noto Sans CJK SC"/>
        <family val="2"/>
      </rPr>
      <t xml:space="preserve">구독료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월</t>
    </r>
  </si>
  <si>
    <t xml:space="preserve">상조 전환금 비율</t>
  </si>
  <si>
    <t xml:space="preserve">상조 수수료율</t>
  </si>
  <si>
    <t xml:space="preserve">개인판매액(원)</t>
  </si>
  <si>
    <t xml:space="preserve">직접판매수수료</t>
  </si>
  <si>
    <t xml:space="preserve">팀 오버라이드</t>
  </si>
  <si>
    <t xml:space="preserve">구독료수익</t>
  </si>
  <si>
    <t xml:space="preserve">페이백수익</t>
  </si>
  <si>
    <t xml:space="preserve">조직 자동화</t>
  </si>
  <si>
    <t xml:space="preserve">★ 연금형 수입</t>
  </si>
  <si>
    <t xml:space="preserve">💰  개인 직접판매 수수료 상세  (크루즈 × 플랫폼 제휴 × 상조전환 통합)</t>
  </si>
  <si>
    <t xml:space="preserve">🚢  크루즈 패키지 수익 구조</t>
  </si>
  <si>
    <t xml:space="preserve">상품명</t>
  </si>
  <si>
    <t xml:space="preserve">판매가(원)</t>
  </si>
  <si>
    <t xml:space="preserve">기본수수료율</t>
  </si>
  <si>
    <t xml:space="preserve">기본수수료</t>
  </si>
  <si>
    <t xml:space="preserve">상조보너스(+2%)</t>
  </si>
  <si>
    <t xml:space="preserve">건당합계</t>
  </si>
  <si>
    <t xml:space="preserve">월10건</t>
  </si>
  <si>
    <t xml:space="preserve">월20건</t>
  </si>
  <si>
    <t xml:space="preserve">크루즈 8박 럭셔리</t>
  </si>
  <si>
    <t xml:space="preserve">🌐  플랫폼 제휴 수수료 구조</t>
  </si>
  <si>
    <t xml:space="preserve">플랫폼</t>
  </si>
  <si>
    <t xml:space="preserve">카테고리</t>
  </si>
  <si>
    <t xml:space="preserve">수수료(최저)</t>
  </si>
  <si>
    <t xml:space="preserve">수수료(최고)</t>
  </si>
  <si>
    <t xml:space="preserve">평균객단가</t>
  </si>
  <si>
    <t xml:space="preserve">건당최저</t>
  </si>
  <si>
    <t xml:space="preserve">건당최고</t>
  </si>
  <si>
    <t xml:space="preserve">월30건최고</t>
  </si>
  <si>
    <t xml:space="preserve">투어/액티비티</t>
  </si>
  <si>
    <t xml:space="preserve">숙박</t>
  </si>
  <si>
    <t xml:space="preserve">아고다(Agoda)</t>
  </si>
  <si>
    <t xml:space="preserve">호텔</t>
  </si>
  <si>
    <t xml:space="preserve">패키지</t>
  </si>
  <si>
    <t xml:space="preserve">Viator</t>
  </si>
  <si>
    <t xml:space="preserve">크루즈 액티비티 ★</t>
  </si>
  <si>
    <t xml:space="preserve">Klook</t>
  </si>
  <si>
    <t xml:space="preserve">투어/체험</t>
  </si>
  <si>
    <t xml:space="preserve">쿠팡여행</t>
  </si>
  <si>
    <t xml:space="preserve">항공+숙박</t>
  </si>
  <si>
    <t xml:space="preserve">★  상조전환 수익 (납입금 82% × 8% 수수료 = 최고 수익원)</t>
  </si>
  <si>
    <t xml:space="preserve">상조납입금</t>
  </si>
  <si>
    <t xml:space="preserve">전환금(82%)</t>
  </si>
  <si>
    <t xml:space="preserve">추천상품</t>
  </si>
  <si>
    <t xml:space="preserve">수수료(8%)</t>
  </si>
  <si>
    <t xml:space="preserve">상조보너스</t>
  </si>
  <si>
    <t xml:space="preserve">건당수익</t>
  </si>
  <si>
    <r>
      <rPr>
        <sz val="11"/>
        <color rgb="FF000000"/>
        <rFont val="Arial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박 기본</t>
    </r>
  </si>
  <si>
    <r>
      <rPr>
        <sz val="11"/>
        <color rgb="FF000000"/>
        <rFont val="Arial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박 프리미엄</t>
    </r>
  </si>
  <si>
    <r>
      <rPr>
        <sz val="11"/>
        <color rgb="FF000000"/>
        <rFont val="Arial"/>
        <family val="0"/>
        <charset val="1"/>
      </rPr>
      <t xml:space="preserve">8</t>
    </r>
    <r>
      <rPr>
        <sz val="11"/>
        <color rgb="FF000000"/>
        <rFont val="Noto Sans CJK SC"/>
        <family val="2"/>
      </rPr>
      <t xml:space="preserve">박 기본</t>
    </r>
  </si>
  <si>
    <r>
      <rPr>
        <sz val="11"/>
        <color rgb="FF000000"/>
        <rFont val="Arial"/>
        <family val="0"/>
        <charset val="1"/>
      </rPr>
      <t xml:space="preserve">8</t>
    </r>
    <r>
      <rPr>
        <sz val="11"/>
        <color rgb="FF000000"/>
        <rFont val="Noto Sans CJK SC"/>
        <family val="2"/>
      </rPr>
      <t xml:space="preserve">박 프리미엄</t>
    </r>
  </si>
  <si>
    <r>
      <rPr>
        <sz val="11"/>
        <color rgb="FF000000"/>
        <rFont val="Arial"/>
        <family val="0"/>
        <charset val="1"/>
      </rPr>
      <t xml:space="preserve">8</t>
    </r>
    <r>
      <rPr>
        <sz val="11"/>
        <color rgb="FF000000"/>
        <rFont val="Noto Sans CJK SC"/>
        <family val="2"/>
      </rPr>
      <t xml:space="preserve">박 럭셔리</t>
    </r>
  </si>
  <si>
    <t xml:space="preserve">🏗️  오버라이드 수수료 구조 — 조직이 만드는 연금형 수익 완전 분석</t>
  </si>
  <si>
    <t xml:space="preserve">📐  오버라이드 배분 구조</t>
  </si>
  <si>
    <t xml:space="preserve">팀 판매액 가정</t>
  </si>
  <si>
    <t xml:space="preserve">배분율(Pool%)</t>
  </si>
  <si>
    <t xml:space="preserve">오버라이드수익</t>
  </si>
  <si>
    <t xml:space="preserve">월간조직수익</t>
  </si>
  <si>
    <t xml:space="preserve">연간조직수익</t>
  </si>
  <si>
    <t xml:space="preserve">직접판매만, 오버라이드 없음</t>
  </si>
  <si>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단계 팀원 판매의 </t>
    </r>
    <r>
      <rPr>
        <sz val="11"/>
        <color rgb="FF000000"/>
        <rFont val="Arial"/>
        <family val="0"/>
        <charset val="1"/>
      </rPr>
      <t xml:space="preserve">0.45%</t>
    </r>
  </si>
  <si>
    <r>
      <rPr>
        <sz val="11"/>
        <color rgb="FF000000"/>
        <rFont val="Arial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단계까지 팀 판매 </t>
    </r>
    <r>
      <rPr>
        <sz val="11"/>
        <color rgb="FF000000"/>
        <rFont val="Arial"/>
        <family val="0"/>
        <charset val="1"/>
      </rPr>
      <t xml:space="preserve">0.5%</t>
    </r>
  </si>
  <si>
    <r>
      <rPr>
        <sz val="11"/>
        <color rgb="FF000000"/>
        <rFont val="Arial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단계까지 조직 판매 </t>
    </r>
    <r>
      <rPr>
        <sz val="11"/>
        <color rgb="FF000000"/>
        <rFont val="Arial"/>
        <family val="0"/>
        <charset val="1"/>
      </rPr>
      <t xml:space="preserve">0.48%</t>
    </r>
  </si>
  <si>
    <t xml:space="preserve">전체 조직 판매 0.45%</t>
  </si>
  <si>
    <t xml:space="preserve">🔑  단계별 성장 로드맵</t>
  </si>
  <si>
    <r>
      <rPr>
        <b val="true"/>
        <sz val="11"/>
        <color rgb="FF1B2A4A"/>
        <rFont val="Arial"/>
        <family val="0"/>
        <charset val="1"/>
      </rPr>
      <t xml:space="preserve">📌 1</t>
    </r>
    <r>
      <rPr>
        <b val="true"/>
        <sz val="11"/>
        <color rgb="FF1B2A4A"/>
        <rFont val="Noto Sans CJK SC"/>
        <family val="2"/>
      </rPr>
      <t xml:space="preserve">단계 </t>
    </r>
    <r>
      <rPr>
        <b val="true"/>
        <sz val="11"/>
        <color rgb="FF1B2A4A"/>
        <rFont val="Arial"/>
        <family val="0"/>
        <charset val="1"/>
      </rPr>
      <t xml:space="preserve">(L1~L2)</t>
    </r>
  </si>
  <si>
    <t xml:space="preserve">직접 판매로 월 93만~245만원 기반 수익을 쌓으면서 팀원 리크루팅 시작</t>
  </si>
  <si>
    <r>
      <rPr>
        <b val="true"/>
        <sz val="11"/>
        <color rgb="FF1B2A4A"/>
        <rFont val="Arial"/>
        <family val="0"/>
        <charset val="1"/>
      </rPr>
      <t xml:space="preserve">📌 2</t>
    </r>
    <r>
      <rPr>
        <b val="true"/>
        <sz val="11"/>
        <color rgb="FF1B2A4A"/>
        <rFont val="Noto Sans CJK SC"/>
        <family val="2"/>
      </rPr>
      <t xml:space="preserve">단계 </t>
    </r>
    <r>
      <rPr>
        <b val="true"/>
        <sz val="11"/>
        <color rgb="FF1B2A4A"/>
        <rFont val="Arial"/>
        <family val="0"/>
        <charset val="1"/>
      </rPr>
      <t xml:space="preserve">(L3 </t>
    </r>
    <r>
      <rPr>
        <b val="true"/>
        <sz val="11"/>
        <color rgb="FF1B2A4A"/>
        <rFont val="Noto Sans CJK SC"/>
        <family val="2"/>
      </rPr>
      <t xml:space="preserve">달성</t>
    </r>
    <r>
      <rPr>
        <b val="true"/>
        <sz val="11"/>
        <color rgb="FF1B2A4A"/>
        <rFont val="Arial"/>
        <family val="0"/>
        <charset val="1"/>
      </rPr>
      <t xml:space="preserve">)</t>
    </r>
  </si>
  <si>
    <t xml:space="preserve">팀원 5명 이상 구성 시 → 팀 판매액의 0.5% 오버라이드 자동 배분
💡 팀원 5명 × 월 3,000만원 판매 = 내 추가 수익 ₩750,000/월</t>
  </si>
  <si>
    <r>
      <rPr>
        <b val="true"/>
        <sz val="11"/>
        <color rgb="FF1B2A4A"/>
        <rFont val="Arial"/>
        <family val="0"/>
        <charset val="1"/>
      </rPr>
      <t xml:space="preserve">📌 3</t>
    </r>
    <r>
      <rPr>
        <b val="true"/>
        <sz val="11"/>
        <color rgb="FF1B2A4A"/>
        <rFont val="Noto Sans CJK SC"/>
        <family val="2"/>
      </rPr>
      <t xml:space="preserve">단계 </t>
    </r>
    <r>
      <rPr>
        <b val="true"/>
        <sz val="11"/>
        <color rgb="FF1B2A4A"/>
        <rFont val="Arial"/>
        <family val="0"/>
        <charset val="1"/>
      </rPr>
      <t xml:space="preserve">(L4 </t>
    </r>
    <r>
      <rPr>
        <b val="true"/>
        <sz val="11"/>
        <color rgb="FF1B2A4A"/>
        <rFont val="Noto Sans CJK SC"/>
        <family val="2"/>
      </rPr>
      <t xml:space="preserve">달성</t>
    </r>
    <r>
      <rPr>
        <b val="true"/>
        <sz val="11"/>
        <color rgb="FF1B2A4A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</si>
  <si>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단계 아래 조직</t>
    </r>
    <r>
      <rPr>
        <sz val="10"/>
        <color rgb="FF000000"/>
        <rFont val="Arial"/>
        <family val="0"/>
        <charset val="1"/>
      </rPr>
      <t xml:space="preserve">(25</t>
    </r>
    <r>
      <rPr>
        <sz val="10"/>
        <color rgb="FF000000"/>
        <rFont val="Noto Sans CJK SC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+) </t>
    </r>
    <r>
      <rPr>
        <sz val="10"/>
        <color rgb="FF000000"/>
        <rFont val="Noto Sans CJK SC"/>
        <family val="2"/>
      </rPr>
      <t xml:space="preserve">형성 → 월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만원 이상 자동 오버라이드
💡 본인 영업 없이도 연간 </t>
    </r>
    <r>
      <rPr>
        <sz val="10"/>
        <color rgb="FF000000"/>
        <rFont val="Arial"/>
        <family val="0"/>
        <charset val="1"/>
      </rPr>
      <t xml:space="preserve">2,700</t>
    </r>
    <r>
      <rPr>
        <sz val="10"/>
        <color rgb="FF000000"/>
        <rFont val="Noto Sans CJK SC"/>
        <family val="2"/>
      </rPr>
      <t xml:space="preserve">만원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조직 수입 실현</t>
    </r>
  </si>
  <si>
    <r>
      <rPr>
        <b val="true"/>
        <sz val="11"/>
        <color rgb="FF1B2A4A"/>
        <rFont val="Arial"/>
        <family val="0"/>
        <charset val="1"/>
      </rPr>
      <t xml:space="preserve">🏆 4</t>
    </r>
    <r>
      <rPr>
        <b val="true"/>
        <sz val="11"/>
        <color rgb="FF1B2A4A"/>
        <rFont val="Noto Sans CJK SC"/>
        <family val="2"/>
      </rPr>
      <t xml:space="preserve">단계 </t>
    </r>
    <r>
      <rPr>
        <b val="true"/>
        <sz val="11"/>
        <color rgb="FF1B2A4A"/>
        <rFont val="Arial"/>
        <family val="0"/>
        <charset val="1"/>
      </rPr>
      <t xml:space="preserve">(L5 VP)</t>
    </r>
  </si>
  <si>
    <t xml:space="preserve">전국 조직(100명+) 완성 → 월 728만원 이상 완전 불로소득 구조
💡 해외 여행 중에도, 휴가 중에도 매월 수백만원 자동 입금</t>
  </si>
  <si>
    <t xml:space="preserve">🌏  글로벌 크루즈 × 상조 × 여행제휴 벤치마크 — 한국 시장 적용 근거</t>
  </si>
  <si>
    <t xml:space="preserve">📊  글로벌 시장 현황</t>
  </si>
  <si>
    <t xml:space="preserve">지표</t>
  </si>
  <si>
    <t xml:space="preserve">현재(2023-24)</t>
  </si>
  <si>
    <t xml:space="preserve">전망(2030)</t>
  </si>
  <si>
    <t xml:space="preserve">성장률</t>
  </si>
  <si>
    <t xml:space="preserve">글로벌 크루즈 시장</t>
  </si>
  <si>
    <t xml:space="preserve">$25.8B</t>
  </si>
  <si>
    <t xml:space="preserve">$51.5B</t>
  </si>
  <si>
    <t xml:space="preserve">CAGR 10.3%</t>
  </si>
  <si>
    <t xml:space="preserve">아시아 성장률 특히 높음</t>
  </si>
  <si>
    <t xml:space="preserve">한국 크루즈 이용객</t>
  </si>
  <si>
    <r>
      <rPr>
        <sz val="11"/>
        <color rgb="FF000000"/>
        <rFont val="Arial"/>
        <family val="0"/>
        <charset val="1"/>
      </rPr>
      <t xml:space="preserve">120</t>
    </r>
    <r>
      <rPr>
        <sz val="11"/>
        <color rgb="FF000000"/>
        <rFont val="Noto Sans CJK SC"/>
        <family val="2"/>
      </rPr>
      <t xml:space="preserve">만명 </t>
    </r>
    <r>
      <rPr>
        <sz val="11"/>
        <color rgb="FF000000"/>
        <rFont val="Arial"/>
        <family val="0"/>
        <charset val="1"/>
      </rPr>
      <t xml:space="preserve">(2024)</t>
    </r>
  </si>
  <si>
    <r>
      <rPr>
        <sz val="11"/>
        <color rgb="FF000000"/>
        <rFont val="Arial"/>
        <family val="0"/>
        <charset val="1"/>
      </rPr>
      <t xml:space="preserve">420</t>
    </r>
    <r>
      <rPr>
        <sz val="11"/>
        <color rgb="FF000000"/>
        <rFont val="Noto Sans CJK SC"/>
        <family val="2"/>
      </rPr>
      <t xml:space="preserve">만명 </t>
    </r>
    <r>
      <rPr>
        <sz val="11"/>
        <color rgb="FF000000"/>
        <rFont val="Arial"/>
        <family val="0"/>
        <charset val="1"/>
      </rPr>
      <t xml:space="preserve">(2030)</t>
    </r>
  </si>
  <si>
    <t xml:space="preserve">연 20%+ 성장</t>
  </si>
  <si>
    <t xml:space="preserve">중국 노선 재개 후 급증</t>
  </si>
  <si>
    <t xml:space="preserve">아시아 크루즈 시장</t>
  </si>
  <si>
    <t xml:space="preserve">$8.2B (2023)</t>
  </si>
  <si>
    <t xml:space="preserve">$22.1B (2030)</t>
  </si>
  <si>
    <t xml:space="preserve">CAGR 15.2%</t>
  </si>
  <si>
    <t xml:space="preserve">한국·일본·싱가포르 중심</t>
  </si>
  <si>
    <t xml:space="preserve">상조 시장 (한국)</t>
  </si>
  <si>
    <t xml:space="preserve">가입자 822만명</t>
  </si>
  <si>
    <t xml:space="preserve">납입잔액 ₩8.5조</t>
  </si>
  <si>
    <t xml:space="preserve">전환가능 82%</t>
  </si>
  <si>
    <t xml:space="preserve">크루즈 전환 적용 가능</t>
  </si>
  <si>
    <t xml:space="preserve">🗺️  해외 영업사원 실수입 비교</t>
  </si>
  <si>
    <t xml:space="preserve">국가</t>
  </si>
  <si>
    <t xml:space="preserve">비즈니스모델</t>
  </si>
  <si>
    <t xml:space="preserve">영업사원 연평균</t>
  </si>
  <si>
    <t xml:space="preserve">YoY</t>
  </si>
  <si>
    <t xml:space="preserve">전환율</t>
  </si>
  <si>
    <t xml:space="preserve">핵심특징</t>
  </si>
  <si>
    <t xml:space="preserve">한국 시사점</t>
  </si>
  <si>
    <t xml:space="preserve">🇺🇸 미국</t>
  </si>
  <si>
    <t xml:space="preserve">크루즈 제휴</t>
  </si>
  <si>
    <t xml:space="preserve">Viator×RCCL</t>
  </si>
  <si>
    <t xml:space="preserve">₩97,750,000</t>
  </si>
  <si>
    <t xml:space="preserve">12%</t>
  </si>
  <si>
    <t xml:space="preserve">28%</t>
  </si>
  <si>
    <t xml:space="preserve">상조연계 최선진국</t>
  </si>
  <si>
    <r>
      <rPr>
        <sz val="11"/>
        <color rgb="FF000000"/>
        <rFont val="Arial"/>
        <family val="0"/>
        <charset val="1"/>
      </rPr>
      <t xml:space="preserve">×0.6 </t>
    </r>
    <r>
      <rPr>
        <sz val="11"/>
        <color rgb="FF000000"/>
        <rFont val="Noto Sans CJK SC"/>
        <family val="2"/>
      </rPr>
      <t xml:space="preserve">적용 ₩</t>
    </r>
    <r>
      <rPr>
        <sz val="11"/>
        <color rgb="FF000000"/>
        <rFont val="Arial"/>
        <family val="0"/>
        <charset val="1"/>
      </rPr>
      <t xml:space="preserve">58.7M/</t>
    </r>
    <r>
      <rPr>
        <sz val="11"/>
        <color rgb="FF000000"/>
        <rFont val="Noto Sans CJK SC"/>
        <family val="2"/>
      </rPr>
      <t xml:space="preserve">년</t>
    </r>
  </si>
  <si>
    <t xml:space="preserve">🇯🇵 일본</t>
  </si>
  <si>
    <t xml:space="preserve">생협×여행</t>
  </si>
  <si>
    <t xml:space="preserve">JTB Partner</t>
  </si>
  <si>
    <t xml:space="preserve">₩61,200,000</t>
  </si>
  <si>
    <t xml:space="preserve">8%</t>
  </si>
  <si>
    <t xml:space="preserve">34%</t>
  </si>
  <si>
    <t xml:space="preserve">회원 LTV 3배</t>
  </si>
  <si>
    <t xml:space="preserve">상조전환 최적 모델</t>
  </si>
  <si>
    <t xml:space="preserve">🇩🇪 독일</t>
  </si>
  <si>
    <t xml:space="preserve">클럽형 제휴</t>
  </si>
  <si>
    <t xml:space="preserve">ADAC Travel</t>
  </si>
  <si>
    <t xml:space="preserve">₩93,600,000</t>
  </si>
  <si>
    <t xml:space="preserve">9%</t>
  </si>
  <si>
    <t xml:space="preserve">22%</t>
  </si>
  <si>
    <r>
      <rPr>
        <sz val="11"/>
        <color rgb="FF000000"/>
        <rFont val="Arial"/>
        <family val="0"/>
        <charset val="1"/>
      </rPr>
      <t xml:space="preserve">120</t>
    </r>
    <r>
      <rPr>
        <sz val="11"/>
        <color rgb="FF000000"/>
        <rFont val="Noto Sans CJK SC"/>
        <family val="2"/>
      </rPr>
      <t xml:space="preserve">만 회원 네트워크</t>
    </r>
  </si>
  <si>
    <t xml:space="preserve">협회모델 도입 가능</t>
  </si>
  <si>
    <t xml:space="preserve">🇦🇺 호주</t>
  </si>
  <si>
    <t xml:space="preserve">보험×크루즈</t>
  </si>
  <si>
    <t xml:space="preserve">Cover-More</t>
  </si>
  <si>
    <t xml:space="preserve">₩64,800,000</t>
  </si>
  <si>
    <t xml:space="preserve">14%</t>
  </si>
  <si>
    <r>
      <rPr>
        <sz val="11"/>
        <color rgb="FF000000"/>
        <rFont val="Arial"/>
        <family val="0"/>
        <charset val="1"/>
      </rPr>
      <t xml:space="preserve">LTV 2.7</t>
    </r>
    <r>
      <rPr>
        <sz val="11"/>
        <color rgb="FF000000"/>
        <rFont val="Noto Sans CJK SC"/>
        <family val="2"/>
      </rPr>
      <t xml:space="preserve">배</t>
    </r>
  </si>
  <si>
    <t xml:space="preserve">★ 한국 최적 모델</t>
  </si>
  <si>
    <t xml:space="preserve">🇸🇬 싱가포르</t>
  </si>
  <si>
    <t xml:space="preserve">럭셔리크루즈</t>
  </si>
  <si>
    <t xml:space="preserve">Genting×Agency</t>
  </si>
  <si>
    <t xml:space="preserve">₩85,500,000</t>
  </si>
  <si>
    <t xml:space="preserve">18%</t>
  </si>
  <si>
    <t xml:space="preserve">41%</t>
  </si>
  <si>
    <t xml:space="preserve">아시아 허브</t>
  </si>
  <si>
    <t xml:space="preserve">아시아 선점 전략</t>
  </si>
  <si>
    <t xml:space="preserve">🇨🇳 중국</t>
  </si>
  <si>
    <t xml:space="preserve">크루즈패키지</t>
  </si>
  <si>
    <r>
      <rPr>
        <sz val="11"/>
        <color rgb="FF000000"/>
        <rFont val="Arial"/>
        <family val="0"/>
        <charset val="1"/>
      </rPr>
      <t xml:space="preserve">Ctrip×</t>
    </r>
    <r>
      <rPr>
        <sz val="11"/>
        <color rgb="FF000000"/>
        <rFont val="Noto Sans CJK SC"/>
        <family val="2"/>
      </rPr>
      <t xml:space="preserve">로얄캐리비안</t>
    </r>
  </si>
  <si>
    <t xml:space="preserve">₩63,000,000</t>
  </si>
  <si>
    <t xml:space="preserve">19%</t>
  </si>
  <si>
    <t xml:space="preserve">압도적 물량</t>
  </si>
  <si>
    <t xml:space="preserve">한중노선 재개기회</t>
  </si>
  <si>
    <t xml:space="preserve">🇰🇷  한국 시장 전망 (2024~2030)</t>
  </si>
  <si>
    <r>
      <rPr>
        <b val="true"/>
        <sz val="10"/>
        <color rgb="FFFFFFFF"/>
        <rFont val="Arial"/>
        <family val="0"/>
        <charset val="1"/>
      </rPr>
      <t xml:space="preserve">2024 </t>
    </r>
    <r>
      <rPr>
        <b val="true"/>
        <sz val="10"/>
        <color rgb="FFFFFFFF"/>
        <rFont val="Noto Sans CJK SC"/>
        <family val="2"/>
      </rPr>
      <t xml:space="preserve">현황</t>
    </r>
  </si>
  <si>
    <r>
      <rPr>
        <b val="true"/>
        <sz val="10"/>
        <color rgb="FFFFFFFF"/>
        <rFont val="Arial"/>
        <family val="0"/>
        <charset val="1"/>
      </rPr>
      <t xml:space="preserve">2026 </t>
    </r>
    <r>
      <rPr>
        <b val="true"/>
        <sz val="10"/>
        <color rgb="FFFFFFFF"/>
        <rFont val="Noto Sans CJK SC"/>
        <family val="2"/>
      </rPr>
      <t xml:space="preserve">예상</t>
    </r>
  </si>
  <si>
    <r>
      <rPr>
        <b val="true"/>
        <sz val="10"/>
        <color rgb="FFFFFFFF"/>
        <rFont val="Arial"/>
        <family val="0"/>
        <charset val="1"/>
      </rPr>
      <t xml:space="preserve">2028 </t>
    </r>
    <r>
      <rPr>
        <b val="true"/>
        <sz val="10"/>
        <color rgb="FFFFFFFF"/>
        <rFont val="Noto Sans CJK SC"/>
        <family val="2"/>
      </rPr>
      <t xml:space="preserve">예상</t>
    </r>
  </si>
  <si>
    <r>
      <rPr>
        <b val="true"/>
        <sz val="10"/>
        <color rgb="FFFFFFFF"/>
        <rFont val="Arial"/>
        <family val="0"/>
        <charset val="1"/>
      </rPr>
      <t xml:space="preserve">2030 </t>
    </r>
    <r>
      <rPr>
        <b val="true"/>
        <sz val="10"/>
        <color rgb="FFFFFFFF"/>
        <rFont val="Noto Sans CJK SC"/>
        <family val="2"/>
      </rPr>
      <t xml:space="preserve">목표</t>
    </r>
  </si>
  <si>
    <t xml:space="preserve">연평균 성장률</t>
  </si>
  <si>
    <r>
      <rPr>
        <sz val="11"/>
        <color rgb="FF000000"/>
        <rFont val="Arial"/>
        <family val="0"/>
        <charset val="1"/>
      </rPr>
      <t xml:space="preserve">120</t>
    </r>
    <r>
      <rPr>
        <sz val="11"/>
        <color rgb="FF000000"/>
        <rFont val="Noto Sans CJK SC"/>
        <family val="2"/>
      </rPr>
      <t xml:space="preserve">만명</t>
    </r>
  </si>
  <si>
    <r>
      <rPr>
        <sz val="11"/>
        <color rgb="FF000000"/>
        <rFont val="Arial"/>
        <family val="0"/>
        <charset val="1"/>
      </rPr>
      <t xml:space="preserve">185</t>
    </r>
    <r>
      <rPr>
        <sz val="11"/>
        <color rgb="FF000000"/>
        <rFont val="Noto Sans CJK SC"/>
        <family val="2"/>
      </rPr>
      <t xml:space="preserve">만명</t>
    </r>
  </si>
  <si>
    <r>
      <rPr>
        <sz val="11"/>
        <color rgb="FF000000"/>
        <rFont val="Arial"/>
        <family val="0"/>
        <charset val="1"/>
      </rPr>
      <t xml:space="preserve">270</t>
    </r>
    <r>
      <rPr>
        <sz val="11"/>
        <color rgb="FF000000"/>
        <rFont val="Noto Sans CJK SC"/>
        <family val="2"/>
      </rPr>
      <t xml:space="preserve">만명</t>
    </r>
  </si>
  <si>
    <r>
      <rPr>
        <sz val="11"/>
        <color rgb="FF000000"/>
        <rFont val="Arial"/>
        <family val="0"/>
        <charset val="1"/>
      </rPr>
      <t xml:space="preserve">420</t>
    </r>
    <r>
      <rPr>
        <sz val="11"/>
        <color rgb="FF000000"/>
        <rFont val="Noto Sans CJK SC"/>
        <family val="2"/>
      </rPr>
      <t xml:space="preserve">만명</t>
    </r>
  </si>
  <si>
    <t xml:space="preserve">23.3%</t>
  </si>
  <si>
    <t xml:space="preserve">상조 가입자</t>
  </si>
  <si>
    <r>
      <rPr>
        <sz val="11"/>
        <color rgb="FF000000"/>
        <rFont val="Arial"/>
        <family val="0"/>
        <charset val="1"/>
      </rPr>
      <t xml:space="preserve">822</t>
    </r>
    <r>
      <rPr>
        <sz val="11"/>
        <color rgb="FF000000"/>
        <rFont val="Noto Sans CJK SC"/>
        <family val="2"/>
      </rPr>
      <t xml:space="preserve">만명</t>
    </r>
  </si>
  <si>
    <r>
      <rPr>
        <sz val="11"/>
        <color rgb="FF000000"/>
        <rFont val="Arial"/>
        <family val="0"/>
        <charset val="1"/>
      </rPr>
      <t xml:space="preserve">900</t>
    </r>
    <r>
      <rPr>
        <sz val="11"/>
        <color rgb="FF000000"/>
        <rFont val="Noto Sans CJK SC"/>
        <family val="2"/>
      </rPr>
      <t xml:space="preserve">만명</t>
    </r>
  </si>
  <si>
    <r>
      <rPr>
        <sz val="11"/>
        <color rgb="FF000000"/>
        <rFont val="Arial"/>
        <family val="0"/>
        <charset val="1"/>
      </rPr>
      <t xml:space="preserve">960</t>
    </r>
    <r>
      <rPr>
        <sz val="11"/>
        <color rgb="FF000000"/>
        <rFont val="Noto Sans CJK SC"/>
        <family val="2"/>
      </rPr>
      <t xml:space="preserve">만명</t>
    </r>
  </si>
  <si>
    <r>
      <rPr>
        <sz val="11"/>
        <color rgb="FF000000"/>
        <rFont val="Arial"/>
        <family val="0"/>
        <charset val="1"/>
      </rPr>
      <t xml:space="preserve">1,020</t>
    </r>
    <r>
      <rPr>
        <sz val="11"/>
        <color rgb="FF000000"/>
        <rFont val="Noto Sans CJK SC"/>
        <family val="2"/>
      </rPr>
      <t xml:space="preserve">만명</t>
    </r>
  </si>
  <si>
    <t xml:space="preserve">3.7%</t>
  </si>
  <si>
    <t xml:space="preserve">상조→크루즈 전환율</t>
  </si>
  <si>
    <t xml:space="preserve">2~3%</t>
  </si>
  <si>
    <t xml:space="preserve">8~12%</t>
  </si>
  <si>
    <t xml:space="preserve">15~22%</t>
  </si>
  <si>
    <t xml:space="preserve">25~33%</t>
  </si>
  <si>
    <t xml:space="preserve">연 3~4%p</t>
  </si>
  <si>
    <t xml:space="preserve">제휴 영업사원 수</t>
  </si>
  <si>
    <r>
      <rPr>
        <sz val="11"/>
        <color rgb="FF000000"/>
        <rFont val="Arial"/>
        <family val="0"/>
        <charset val="1"/>
      </rPr>
      <t xml:space="preserve">500</t>
    </r>
    <r>
      <rPr>
        <sz val="11"/>
        <color rgb="FF000000"/>
        <rFont val="Noto Sans CJK SC"/>
        <family val="2"/>
      </rPr>
      <t xml:space="preserve">명</t>
    </r>
  </si>
  <si>
    <r>
      <rPr>
        <sz val="11"/>
        <color rgb="FF000000"/>
        <rFont val="Arial"/>
        <family val="0"/>
        <charset val="1"/>
      </rPr>
      <t xml:space="preserve">2,500</t>
    </r>
    <r>
      <rPr>
        <sz val="11"/>
        <color rgb="FF000000"/>
        <rFont val="Noto Sans CJK SC"/>
        <family val="2"/>
      </rPr>
      <t xml:space="preserve">명</t>
    </r>
  </si>
  <si>
    <r>
      <rPr>
        <sz val="11"/>
        <color rgb="FF000000"/>
        <rFont val="Arial"/>
        <family val="0"/>
        <charset val="1"/>
      </rPr>
      <t xml:space="preserve">9,000</t>
    </r>
    <r>
      <rPr>
        <sz val="11"/>
        <color rgb="FF000000"/>
        <rFont val="Noto Sans CJK SC"/>
        <family val="2"/>
      </rPr>
      <t xml:space="preserve">명</t>
    </r>
  </si>
  <si>
    <r>
      <rPr>
        <sz val="11"/>
        <color rgb="FF000000"/>
        <rFont val="Arial"/>
        <family val="0"/>
        <charset val="1"/>
      </rPr>
      <t xml:space="preserve">22,000</t>
    </r>
    <r>
      <rPr>
        <sz val="11"/>
        <color rgb="FF000000"/>
        <rFont val="Noto Sans CJK SC"/>
        <family val="2"/>
      </rPr>
      <t xml:space="preserve">명</t>
    </r>
  </si>
  <si>
    <t xml:space="preserve">75.7%</t>
  </si>
  <si>
    <t xml:space="preserve">영업사원 평균 월수익</t>
  </si>
  <si>
    <t xml:space="preserve">₩800K</t>
  </si>
  <si>
    <t xml:space="preserve">₩1.6M</t>
  </si>
  <si>
    <t xml:space="preserve">₩3.0M</t>
  </si>
  <si>
    <t xml:space="preserve">₩5.0M</t>
  </si>
  <si>
    <t xml:space="preserve">30.7%</t>
  </si>
  <si>
    <t xml:space="preserve">★ 시장 총 규모</t>
  </si>
  <si>
    <r>
      <rPr>
        <b val="true"/>
        <sz val="11"/>
        <color rgb="FF000000"/>
        <rFont val="Arial"/>
        <family val="0"/>
        <charset val="1"/>
      </rPr>
      <t xml:space="preserve">₩0.3</t>
    </r>
    <r>
      <rPr>
        <b val="true"/>
        <sz val="11"/>
        <color rgb="FF000000"/>
        <rFont val="Noto Sans CJK SC"/>
        <family val="2"/>
      </rPr>
      <t xml:space="preserve">조</t>
    </r>
  </si>
  <si>
    <r>
      <rPr>
        <b val="true"/>
        <sz val="11"/>
        <color rgb="FF000000"/>
        <rFont val="Arial"/>
        <family val="0"/>
        <charset val="1"/>
      </rPr>
      <t xml:space="preserve">₩1.4</t>
    </r>
    <r>
      <rPr>
        <b val="true"/>
        <sz val="11"/>
        <color rgb="FF000000"/>
        <rFont val="Noto Sans CJK SC"/>
        <family val="2"/>
      </rPr>
      <t xml:space="preserve">조</t>
    </r>
  </si>
  <si>
    <r>
      <rPr>
        <b val="true"/>
        <sz val="11"/>
        <color rgb="FF000000"/>
        <rFont val="Arial"/>
        <family val="0"/>
        <charset val="1"/>
      </rPr>
      <t xml:space="preserve">₩4.0</t>
    </r>
    <r>
      <rPr>
        <b val="true"/>
        <sz val="11"/>
        <color rgb="FF000000"/>
        <rFont val="Noto Sans CJK SC"/>
        <family val="2"/>
      </rPr>
      <t xml:space="preserve">조</t>
    </r>
  </si>
  <si>
    <r>
      <rPr>
        <b val="true"/>
        <sz val="11"/>
        <color rgb="FF000000"/>
        <rFont val="Arial"/>
        <family val="0"/>
        <charset val="1"/>
      </rPr>
      <t xml:space="preserve">₩9.5</t>
    </r>
    <r>
      <rPr>
        <b val="true"/>
        <sz val="11"/>
        <color rgb="FF000000"/>
        <rFont val="Noto Sans CJK SC"/>
        <family val="2"/>
      </rPr>
      <t xml:space="preserve">조</t>
    </r>
  </si>
  <si>
    <t xml:space="preserve">77.4%</t>
  </si>
  <si>
    <t xml:space="preserve">🎯  나만의 수익 시뮬레이터 — 내가 팔면 얼마나 벌 수 있을까?</t>
  </si>
  <si>
    <t xml:space="preserve">💡 파란색(수량/금액) 셀을 직접 수정하세요 → 월간·연간 수익이 자동 계산됩니다!</t>
  </si>
  <si>
    <t xml:space="preserve">📥  월간 판매 목표 입력</t>
  </si>
  <si>
    <t xml:space="preserve">수익원</t>
  </si>
  <si>
    <t xml:space="preserve">판매수량/금액</t>
  </si>
  <si>
    <t xml:space="preserve">단위</t>
  </si>
  <si>
    <t xml:space="preserve">계산기준</t>
  </si>
  <si>
    <t xml:space="preserve">예상 월 수익</t>
  </si>
  <si>
    <t xml:space="preserve">건</t>
  </si>
  <si>
    <t xml:space="preserve">건수 × ₩48,000 (수수료+보너스)</t>
  </si>
  <si>
    <t xml:space="preserve">건수 × ₩96,000 (수수료+보너스)</t>
  </si>
  <si>
    <t xml:space="preserve">마이리얼트립 판매</t>
  </si>
  <si>
    <t xml:space="preserve">원</t>
  </si>
  <si>
    <t xml:space="preserve">판매액 × 10%</t>
  </si>
  <si>
    <t xml:space="preserve">아고다 호텔 판매</t>
  </si>
  <si>
    <t xml:space="preserve">판매액 × 6%</t>
  </si>
  <si>
    <r>
      <rPr>
        <b val="true"/>
        <sz val="11"/>
        <color rgb="FF000000"/>
        <rFont val="Arial"/>
        <family val="0"/>
        <charset val="1"/>
      </rPr>
      <t xml:space="preserve">Viator </t>
    </r>
    <r>
      <rPr>
        <b val="true"/>
        <sz val="11"/>
        <color rgb="FF000000"/>
        <rFont val="Noto Sans CJK SC"/>
        <family val="2"/>
      </rPr>
      <t xml:space="preserve">판매</t>
    </r>
  </si>
  <si>
    <r>
      <rPr>
        <b val="true"/>
        <sz val="11"/>
        <color rgb="FF000000"/>
        <rFont val="Arial"/>
        <family val="0"/>
        <charset val="1"/>
      </rPr>
      <t xml:space="preserve">Klook </t>
    </r>
    <r>
      <rPr>
        <b val="true"/>
        <sz val="11"/>
        <color rgb="FF000000"/>
        <rFont val="Noto Sans CJK SC"/>
        <family val="2"/>
      </rPr>
      <t xml:space="preserve">판매</t>
    </r>
  </si>
  <si>
    <t xml:space="preserve">판매액 × 8%</t>
  </si>
  <si>
    <t xml:space="preserve">쿠팡여행 판매</t>
  </si>
  <si>
    <t xml:space="preserve">판매액 × 5%</t>
  </si>
  <si>
    <t xml:space="preserve">★ 상조전환 건수</t>
  </si>
  <si>
    <t xml:space="preserve">건수 × 1,200,000 × 82% × 8%</t>
  </si>
  <si>
    <t xml:space="preserve">추천인 페이백 수익</t>
  </si>
  <si>
    <t xml:space="preserve">명</t>
  </si>
  <si>
    <t xml:space="preserve">추천인수 × 월구독료 × 30%</t>
  </si>
  <si>
    <t xml:space="preserve">🏆  월간 총 예상 수익 (자동 계산)</t>
  </si>
  <si>
    <t xml:space="preserve">📅  연간 총 예상 수익 (×12)</t>
  </si>
  <si>
    <t xml:space="preserve">📈  수익 등급 기준</t>
  </si>
  <si>
    <r>
      <rPr>
        <b val="true"/>
        <sz val="11"/>
        <color rgb="FFE05C3A"/>
        <rFont val="Arial"/>
        <family val="0"/>
        <charset val="1"/>
      </rPr>
      <t xml:space="preserve">₩10,000,000 </t>
    </r>
    <r>
      <rPr>
        <b val="true"/>
        <sz val="11"/>
        <color rgb="FFE05C3A"/>
        <rFont val="Noto Sans CJK SC"/>
        <family val="2"/>
      </rPr>
      <t xml:space="preserve">이상</t>
    </r>
  </si>
  <si>
    <t xml:space="preserve">전국 TOP 1% 스타 파트너</t>
  </si>
  <si>
    <r>
      <rPr>
        <b val="true"/>
        <sz val="11"/>
        <color rgb="FFE05C3A"/>
        <rFont val="Arial"/>
        <family val="0"/>
        <charset val="1"/>
      </rPr>
      <t xml:space="preserve">₩5,000,000 </t>
    </r>
    <r>
      <rPr>
        <b val="true"/>
        <sz val="11"/>
        <color rgb="FFE05C3A"/>
        <rFont val="Noto Sans CJK SC"/>
        <family val="2"/>
      </rPr>
      <t xml:space="preserve">이상</t>
    </r>
  </si>
  <si>
    <t xml:space="preserve">상위 5% 풀타임 전문 파트너</t>
  </si>
  <si>
    <r>
      <rPr>
        <b val="true"/>
        <sz val="11"/>
        <color rgb="FFE05C3A"/>
        <rFont val="Arial"/>
        <family val="0"/>
        <charset val="1"/>
      </rPr>
      <t xml:space="preserve">₩2,000,000 </t>
    </r>
    <r>
      <rPr>
        <b val="true"/>
        <sz val="11"/>
        <color rgb="FFE05C3A"/>
        <rFont val="Noto Sans CJK SC"/>
        <family val="2"/>
      </rPr>
      <t xml:space="preserve">이상</t>
    </r>
  </si>
  <si>
    <t xml:space="preserve">상위 20% 성장 파트너</t>
  </si>
  <si>
    <r>
      <rPr>
        <b val="true"/>
        <sz val="11"/>
        <color rgb="FFE05C3A"/>
        <rFont val="Arial"/>
        <family val="0"/>
        <charset val="1"/>
      </rPr>
      <t xml:space="preserve">₩500,000 </t>
    </r>
    <r>
      <rPr>
        <b val="true"/>
        <sz val="11"/>
        <color rgb="FFE05C3A"/>
        <rFont val="Noto Sans CJK SC"/>
        <family val="2"/>
      </rPr>
      <t xml:space="preserve">이상</t>
    </r>
  </si>
  <si>
    <t xml:space="preserve">부업형 파트너</t>
  </si>
  <si>
    <r>
      <rPr>
        <b val="true"/>
        <sz val="11"/>
        <color rgb="FFE05C3A"/>
        <rFont val="Arial"/>
        <family val="0"/>
        <charset val="1"/>
      </rPr>
      <t xml:space="preserve">₩500,000 </t>
    </r>
    <r>
      <rPr>
        <b val="true"/>
        <sz val="11"/>
        <color rgb="FFE05C3A"/>
        <rFont val="Noto Sans CJK SC"/>
        <family val="2"/>
      </rPr>
      <t xml:space="preserve">미만</t>
    </r>
  </si>
  <si>
    <t xml:space="preserve">활동 시작 단계</t>
  </si>
  <si>
    <t xml:space="preserve">✅  나의 현재 수익 등급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</si>
</sst>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;\(#,##0\);\-"/>
    <numFmt numFmtId="168" formatCode="#,##0\명"/>
    <numFmt numFmtId="169" formatCode="#,##0&quot;명/월&quot;"/>
  </numFmts>
  <fonts count="5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C9A84C"/>
      <name val="Arial"/>
      <family val="0"/>
      <charset val="1"/>
    </font>
    <font>
      <b val="true"/>
      <sz val="18"/>
      <color rgb="FFC9A84C"/>
      <name val="Noto Sans CJK SC"/>
      <family val="2"/>
    </font>
    <font>
      <b val="true"/>
      <sz val="12"/>
      <color rgb="FFFFFFFF"/>
      <name val="Noto Sans CJK SC"/>
      <family val="2"/>
      <charset val="1"/>
    </font>
    <font>
      <b val="true"/>
      <sz val="13"/>
      <color rgb="FFC9A84C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1"/>
      <color rgb="FF000000"/>
      <name val="Arial"/>
      <family val="0"/>
      <charset val="1"/>
    </font>
    <font>
      <sz val="11"/>
      <color rgb="FF000000"/>
      <name val="Noto Sans CJK SC"/>
      <family val="2"/>
      <charset val="1"/>
    </font>
    <font>
      <b val="true"/>
      <sz val="11"/>
      <color rgb="FFE05C3A"/>
      <name val="Arial"/>
      <family val="0"/>
      <charset val="1"/>
    </font>
    <font>
      <sz val="11"/>
      <color rgb="FF000000"/>
      <name val="Noto Sans CJK SC"/>
      <family val="2"/>
    </font>
    <font>
      <b val="true"/>
      <sz val="13"/>
      <color rgb="FFFFFFFF"/>
      <name val="Noto Sans CJK SC"/>
      <family val="2"/>
      <charset val="1"/>
    </font>
    <font>
      <b val="true"/>
      <sz val="12"/>
      <color rgb="FFC9A84C"/>
      <name val="Noto Sans CJK SC"/>
      <family val="2"/>
      <charset val="1"/>
    </font>
    <font>
      <b val="true"/>
      <sz val="11"/>
      <color rgb="FF1B2A4A"/>
      <name val="Noto Sans CJK SC"/>
      <family val="2"/>
      <charset val="1"/>
    </font>
    <font>
      <b val="true"/>
      <sz val="13"/>
      <color rgb="FF1B2A4A"/>
      <name val="Arial"/>
      <family val="0"/>
      <charset val="1"/>
    </font>
    <font>
      <b val="true"/>
      <sz val="13"/>
      <color rgb="FF1B2A4A"/>
      <name val="Noto Sans CJK SC"/>
      <family val="2"/>
    </font>
    <font>
      <b val="true"/>
      <sz val="18"/>
      <color rgb="FFFFFFFF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1"/>
      <color rgb="FF000000"/>
      <name val="Noto Sans CJK SC"/>
      <family val="2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Noto Sans CJK SC"/>
      <family val="2"/>
    </font>
    <font>
      <b val="true"/>
      <sz val="11"/>
      <color rgb="FF000000"/>
      <name val="Noto Sans CJK SC"/>
      <family val="2"/>
    </font>
    <font>
      <b val="true"/>
      <sz val="12"/>
      <color rgb="FF1B2A4A"/>
      <name val="Noto Sans CJK SC"/>
      <family val="2"/>
      <charset val="1"/>
    </font>
    <font>
      <b val="true"/>
      <sz val="11"/>
      <color rgb="FF1B2A4A"/>
      <name val="Arial"/>
      <family val="0"/>
      <charset val="1"/>
    </font>
    <font>
      <b val="true"/>
      <sz val="11"/>
      <color rgb="FFE05C3A"/>
      <name val="Noto Sans CJK SC"/>
      <family val="2"/>
      <charset val="1"/>
    </font>
    <font>
      <b val="true"/>
      <sz val="13"/>
      <color rgb="FFC9A84C"/>
      <name val="Arial"/>
      <family val="0"/>
      <charset val="1"/>
    </font>
    <font>
      <b val="true"/>
      <sz val="13"/>
      <color rgb="FFC9A84C"/>
      <name val="Noto Sans CJK SC"/>
      <family val="2"/>
    </font>
    <font>
      <b val="true"/>
      <sz val="17"/>
      <color rgb="FFC9A84C"/>
      <name val="Noto Sans CJK SC"/>
      <family val="2"/>
      <charset val="1"/>
    </font>
    <font>
      <sz val="11"/>
      <color rgb="FFFF0000"/>
      <name val="Arial"/>
      <family val="0"/>
      <charset val="1"/>
    </font>
    <font>
      <sz val="11"/>
      <color rgb="FF008000"/>
      <name val="Noto Sans CJK SC"/>
      <family val="2"/>
      <charset val="1"/>
    </font>
    <font>
      <b val="true"/>
      <sz val="11"/>
      <color rgb="FFC9A84C"/>
      <name val="Arial"/>
      <family val="0"/>
      <charset val="1"/>
    </font>
    <font>
      <b val="true"/>
      <sz val="14"/>
      <color rgb="FFC9A84C"/>
      <name val="Arial"/>
      <family val="0"/>
      <charset val="1"/>
    </font>
    <font>
      <b val="true"/>
      <sz val="14"/>
      <color rgb="FFC9A84C"/>
      <name val="Noto Sans CJK SC"/>
      <family val="2"/>
    </font>
    <font>
      <b val="true"/>
      <sz val="16"/>
      <color rgb="FFC9A84C"/>
      <name val="Noto Sans CJK SC"/>
      <family val="2"/>
      <charset val="1"/>
    </font>
    <font>
      <b val="true"/>
      <sz val="11"/>
      <color rgb="FF1B2A4A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3"/>
      <color rgb="FF1B2A4A"/>
      <name val="Noto Sans CJK SC"/>
      <family val="2"/>
      <charset val="1"/>
    </font>
    <font>
      <b val="true"/>
      <sz val="11"/>
      <color rgb="FFE05C3A"/>
      <name val="Noto Sans CJK SC"/>
      <family val="2"/>
    </font>
  </fonts>
  <fills count="1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0E7C7B"/>
        <bgColor rgb="FF008080"/>
      </patternFill>
    </fill>
    <fill>
      <patternFill patternType="solid">
        <fgColor rgb="FFF5F5F5"/>
        <bgColor rgb="FFEEF4FF"/>
      </patternFill>
    </fill>
    <fill>
      <patternFill patternType="solid">
        <fgColor rgb="FFEEF4FF"/>
        <bgColor rgb="FFF5F5F5"/>
      </patternFill>
    </fill>
    <fill>
      <patternFill patternType="solid">
        <fgColor rgb="FFE8F5E9"/>
        <bgColor rgb="FFEEF4FF"/>
      </patternFill>
    </fill>
    <fill>
      <patternFill patternType="solid">
        <fgColor rgb="FFFFF3E0"/>
        <bgColor rgb="FFFFF8E7"/>
      </patternFill>
    </fill>
    <fill>
      <patternFill patternType="solid">
        <fgColor rgb="FFFCE4EC"/>
        <bgColor rgb="FFFFEEEE"/>
      </patternFill>
    </fill>
    <fill>
      <patternFill patternType="solid">
        <fgColor rgb="FF7B2D8B"/>
        <bgColor rgb="FF993366"/>
      </patternFill>
    </fill>
    <fill>
      <patternFill patternType="solid">
        <fgColor rgb="FFFFF8E7"/>
        <bgColor rgb="FFFFF3E0"/>
      </patternFill>
    </fill>
    <fill>
      <patternFill patternType="solid">
        <fgColor rgb="FFC9A84C"/>
        <bgColor rgb="FFAAAAAA"/>
      </patternFill>
    </fill>
    <fill>
      <patternFill patternType="solid">
        <fgColor rgb="FFFFEEEE"/>
        <bgColor rgb="FFFFF3E0"/>
      </patternFill>
    </fill>
    <fill>
      <patternFill patternType="solid">
        <fgColor rgb="FFE05C3A"/>
        <bgColor rgb="FFFF8080"/>
      </patternFill>
    </fill>
    <fill>
      <patternFill patternType="solid">
        <fgColor rgb="FF4CAF50"/>
        <bgColor rgb="FF33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CCCCC"/>
      <rgbColor rgb="FF808080"/>
      <rgbColor rgb="FF9999FF"/>
      <rgbColor rgb="FF7B2D8B"/>
      <rgbColor rgb="FFFFF8E7"/>
      <rgbColor rgb="FFE8F5E9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F"/>
      <rgbColor rgb="FFF5F5F5"/>
      <rgbColor rgb="FFFFF3E0"/>
      <rgbColor rgb="FF99CCFF"/>
      <rgbColor rgb="FFFF99CC"/>
      <rgbColor rgb="FFCC99FF"/>
      <rgbColor rgb="FFFFEEEE"/>
      <rgbColor rgb="FF3366FF"/>
      <rgbColor rgb="FF33CCCC"/>
      <rgbColor rgb="FF99CC00"/>
      <rgbColor rgb="FFFFCC00"/>
      <rgbColor rgb="FFC9A84C"/>
      <rgbColor rgb="FFE05C3A"/>
      <rgbColor rgb="FF666699"/>
      <rgbColor rgb="FFAAAAAA"/>
      <rgbColor rgb="FF003366"/>
      <rgbColor rgb="FF4CAF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7" min="3" style="1" width="18"/>
    <col collapsed="false" customWidth="true" hidden="false" outlineLevel="0" max="8" min="8" style="1" width="22"/>
  </cols>
  <sheetData>
    <row r="1" customFormat="false" ht="49.5" hidden="false" customHeight="true" outlineLevel="0" collapsed="false">
      <c r="B1" s="2" t="s">
        <v>0</v>
      </c>
      <c r="C1" s="2"/>
      <c r="D1" s="2"/>
      <c r="E1" s="2"/>
      <c r="F1" s="2"/>
      <c r="G1" s="2"/>
      <c r="H1" s="2"/>
    </row>
    <row r="2" customFormat="false" ht="18.75" hidden="false" customHeight="true" outlineLevel="0" collapsed="false">
      <c r="B2" s="3" t="s">
        <v>1</v>
      </c>
      <c r="C2" s="3"/>
      <c r="D2" s="3"/>
      <c r="E2" s="3"/>
      <c r="F2" s="3"/>
      <c r="G2" s="3"/>
      <c r="H2" s="3"/>
    </row>
    <row r="4" customFormat="false" ht="27.75" hidden="false" customHeight="true" outlineLevel="0" collapsed="false">
      <c r="B4" s="4" t="s">
        <v>2</v>
      </c>
      <c r="C4" s="4"/>
      <c r="D4" s="4"/>
      <c r="E4" s="4"/>
      <c r="F4" s="4"/>
      <c r="G4" s="4"/>
      <c r="H4" s="4"/>
    </row>
    <row r="5" customFormat="false" ht="29.2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</row>
    <row r="6" customFormat="false" ht="32.25" hidden="false" customHeight="true" outlineLevel="0" collapsed="false">
      <c r="B6" s="6" t="s">
        <v>11</v>
      </c>
      <c r="C6" s="7" t="s">
        <v>12</v>
      </c>
      <c r="D6" s="8" t="n">
        <v>932400</v>
      </c>
      <c r="E6" s="8" t="n">
        <v>11188800</v>
      </c>
      <c r="F6" s="6" t="s">
        <v>13</v>
      </c>
      <c r="G6" s="6" t="s">
        <v>14</v>
      </c>
      <c r="H6" s="6" t="s">
        <v>15</v>
      </c>
      <c r="I6" s="7" t="s">
        <v>16</v>
      </c>
    </row>
    <row r="7" customFormat="false" ht="32.25" hidden="false" customHeight="true" outlineLevel="0" collapsed="false">
      <c r="B7" s="9" t="s">
        <v>17</v>
      </c>
      <c r="C7" s="10" t="s">
        <v>18</v>
      </c>
      <c r="D7" s="11" t="n">
        <v>2450000</v>
      </c>
      <c r="E7" s="11" t="n">
        <v>29400000</v>
      </c>
      <c r="F7" s="9" t="s">
        <v>19</v>
      </c>
      <c r="G7" s="9" t="s">
        <v>14</v>
      </c>
      <c r="H7" s="9" t="s">
        <v>20</v>
      </c>
      <c r="I7" s="10" t="s">
        <v>21</v>
      </c>
    </row>
    <row r="8" customFormat="false" ht="48" hidden="false" customHeight="true" outlineLevel="0" collapsed="false">
      <c r="B8" s="12" t="s">
        <v>22</v>
      </c>
      <c r="C8" s="13" t="s">
        <v>23</v>
      </c>
      <c r="D8" s="14" t="n">
        <v>5008000</v>
      </c>
      <c r="E8" s="14" t="n">
        <v>60096000</v>
      </c>
      <c r="F8" s="12" t="s">
        <v>24</v>
      </c>
      <c r="G8" s="12" t="s">
        <v>25</v>
      </c>
      <c r="H8" s="12" t="s">
        <v>26</v>
      </c>
      <c r="I8" s="13" t="s">
        <v>27</v>
      </c>
    </row>
    <row r="9" customFormat="false" ht="32.25" hidden="false" customHeight="true" outlineLevel="0" collapsed="false">
      <c r="B9" s="15" t="s">
        <v>28</v>
      </c>
      <c r="C9" s="16" t="s">
        <v>29</v>
      </c>
      <c r="D9" s="17" t="n">
        <v>25056000</v>
      </c>
      <c r="E9" s="17" t="n">
        <v>300672000</v>
      </c>
      <c r="F9" s="15" t="s">
        <v>30</v>
      </c>
      <c r="G9" s="15" t="s">
        <v>25</v>
      </c>
      <c r="H9" s="15" t="s">
        <v>31</v>
      </c>
      <c r="I9" s="16" t="s">
        <v>32</v>
      </c>
    </row>
    <row r="10" customFormat="false" ht="32.25" hidden="false" customHeight="true" outlineLevel="0" collapsed="false">
      <c r="B10" s="18" t="s">
        <v>33</v>
      </c>
      <c r="C10" s="18" t="s">
        <v>34</v>
      </c>
      <c r="D10" s="19" t="n">
        <v>98313000</v>
      </c>
      <c r="E10" s="19" t="n">
        <v>1179756000</v>
      </c>
      <c r="F10" s="18" t="s">
        <v>35</v>
      </c>
      <c r="G10" s="18" t="s">
        <v>36</v>
      </c>
      <c r="H10" s="18" t="s">
        <v>37</v>
      </c>
      <c r="I10" s="20" t="s">
        <v>38</v>
      </c>
    </row>
    <row r="12" customFormat="false" ht="27.75" hidden="false" customHeight="true" outlineLevel="0" collapsed="false">
      <c r="B12" s="21" t="s">
        <v>39</v>
      </c>
      <c r="C12" s="21"/>
      <c r="D12" s="21"/>
      <c r="E12" s="21"/>
      <c r="F12" s="21"/>
      <c r="G12" s="21"/>
      <c r="H12" s="21"/>
    </row>
    <row r="13" customFormat="false" ht="15" hidden="false" customHeight="true" outlineLevel="0" collapsed="false">
      <c r="B13" s="22" t="s">
        <v>40</v>
      </c>
      <c r="C13" s="22" t="s">
        <v>41</v>
      </c>
      <c r="D13" s="22" t="s">
        <v>42</v>
      </c>
      <c r="E13" s="22" t="s">
        <v>43</v>
      </c>
      <c r="F13" s="22" t="s">
        <v>44</v>
      </c>
      <c r="G13" s="22" t="s">
        <v>45</v>
      </c>
      <c r="H13" s="22" t="s">
        <v>10</v>
      </c>
    </row>
    <row r="14" customFormat="false" ht="32.25" hidden="false" customHeight="true" outlineLevel="0" collapsed="false">
      <c r="B14" s="6" t="s">
        <v>14</v>
      </c>
      <c r="C14" s="23" t="n">
        <v>9900</v>
      </c>
      <c r="D14" s="23" t="n">
        <v>118800</v>
      </c>
      <c r="E14" s="7" t="s">
        <v>46</v>
      </c>
      <c r="F14" s="7" t="s">
        <v>47</v>
      </c>
      <c r="G14" s="6" t="s">
        <v>48</v>
      </c>
      <c r="H14" s="7" t="s">
        <v>49</v>
      </c>
    </row>
    <row r="15" customFormat="false" ht="32.25" hidden="false" customHeight="true" outlineLevel="0" collapsed="false">
      <c r="B15" s="9" t="s">
        <v>25</v>
      </c>
      <c r="C15" s="24" t="n">
        <v>33000</v>
      </c>
      <c r="D15" s="24" t="n">
        <v>396000</v>
      </c>
      <c r="E15" s="10" t="s">
        <v>50</v>
      </c>
      <c r="F15" s="10" t="s">
        <v>51</v>
      </c>
      <c r="G15" s="9" t="s">
        <v>52</v>
      </c>
      <c r="H15" s="10" t="s">
        <v>53</v>
      </c>
    </row>
    <row r="16" customFormat="false" ht="32.25" hidden="false" customHeight="true" outlineLevel="0" collapsed="false">
      <c r="B16" s="18" t="s">
        <v>36</v>
      </c>
      <c r="C16" s="25" t="n">
        <v>99000</v>
      </c>
      <c r="D16" s="25" t="n">
        <v>1188000</v>
      </c>
      <c r="E16" s="20" t="s">
        <v>54</v>
      </c>
      <c r="F16" s="20" t="s">
        <v>55</v>
      </c>
      <c r="G16" s="18" t="s">
        <v>56</v>
      </c>
      <c r="H16" s="20" t="s">
        <v>57</v>
      </c>
    </row>
    <row r="18" customFormat="false" ht="18.75" hidden="false" customHeight="true" outlineLevel="0" collapsed="false">
      <c r="B18" s="26" t="s">
        <v>58</v>
      </c>
      <c r="C18" s="26"/>
      <c r="D18" s="26"/>
      <c r="E18" s="26"/>
      <c r="F18" s="26"/>
      <c r="G18" s="26"/>
      <c r="H18" s="26"/>
    </row>
    <row r="19" customFormat="false" ht="16.5" hidden="false" customHeight="true" outlineLevel="0" collapsed="false">
      <c r="B19" s="27" t="s">
        <v>59</v>
      </c>
      <c r="C19" s="28" t="s">
        <v>60</v>
      </c>
      <c r="D19" s="28"/>
      <c r="E19" s="28"/>
      <c r="F19" s="28"/>
      <c r="G19" s="28"/>
      <c r="H19" s="28"/>
    </row>
    <row r="20" customFormat="false" ht="16.5" hidden="false" customHeight="true" outlineLevel="0" collapsed="false">
      <c r="B20" s="27" t="s">
        <v>61</v>
      </c>
      <c r="C20" s="28" t="s">
        <v>62</v>
      </c>
      <c r="D20" s="28"/>
      <c r="E20" s="28"/>
      <c r="F20" s="28"/>
      <c r="G20" s="28"/>
      <c r="H20" s="28"/>
    </row>
    <row r="21" customFormat="false" ht="16.5" hidden="false" customHeight="true" outlineLevel="0" collapsed="false">
      <c r="B21" s="27" t="s">
        <v>63</v>
      </c>
      <c r="C21" s="28" t="s">
        <v>64</v>
      </c>
      <c r="D21" s="28"/>
      <c r="E21" s="28"/>
      <c r="F21" s="28"/>
      <c r="G21" s="28"/>
      <c r="H21" s="28"/>
    </row>
    <row r="22" customFormat="false" ht="16.5" hidden="false" customHeight="true" outlineLevel="0" collapsed="false">
      <c r="B22" s="27" t="s">
        <v>65</v>
      </c>
      <c r="C22" s="28" t="s">
        <v>66</v>
      </c>
      <c r="D22" s="28"/>
      <c r="E22" s="28"/>
      <c r="F22" s="28"/>
      <c r="G22" s="28"/>
      <c r="H22" s="28"/>
    </row>
    <row r="23" customFormat="false" ht="16.5" hidden="false" customHeight="true" outlineLevel="0" collapsed="false">
      <c r="B23" s="27" t="s">
        <v>67</v>
      </c>
      <c r="C23" s="28" t="s">
        <v>68</v>
      </c>
      <c r="D23" s="28"/>
      <c r="E23" s="28"/>
      <c r="F23" s="28"/>
      <c r="G23" s="28"/>
      <c r="H23" s="28"/>
    </row>
    <row r="24" customFormat="false" ht="16.5" hidden="false" customHeight="true" outlineLevel="0" collapsed="false">
      <c r="B24" s="27" t="s">
        <v>69</v>
      </c>
      <c r="C24" s="28" t="s">
        <v>70</v>
      </c>
      <c r="D24" s="28"/>
      <c r="E24" s="28"/>
      <c r="F24" s="28"/>
      <c r="G24" s="28"/>
      <c r="H24" s="28"/>
    </row>
    <row r="25" customFormat="false" ht="16.5" hidden="false" customHeight="true" outlineLevel="0" collapsed="false">
      <c r="B25" s="27" t="s">
        <v>71</v>
      </c>
      <c r="C25" s="28" t="s">
        <v>72</v>
      </c>
      <c r="D25" s="28"/>
      <c r="E25" s="28"/>
      <c r="F25" s="28"/>
      <c r="G25" s="28"/>
      <c r="H25" s="28"/>
    </row>
    <row r="26" customFormat="false" ht="16.5" hidden="false" customHeight="true" outlineLevel="0" collapsed="false">
      <c r="B26" s="27" t="s">
        <v>73</v>
      </c>
      <c r="C26" s="28" t="s">
        <v>74</v>
      </c>
      <c r="D26" s="28"/>
      <c r="E26" s="28"/>
      <c r="F26" s="28"/>
      <c r="G26" s="28"/>
      <c r="H26" s="28"/>
    </row>
    <row r="28" customFormat="false" ht="34.5" hidden="false" customHeight="true" outlineLevel="0" collapsed="false">
      <c r="B28" s="29" t="s">
        <v>75</v>
      </c>
      <c r="C28" s="29"/>
      <c r="D28" s="29"/>
      <c r="E28" s="29"/>
      <c r="F28" s="29"/>
      <c r="G28" s="29"/>
      <c r="H28" s="29"/>
    </row>
  </sheetData>
  <mergeCells count="14">
    <mergeCell ref="B1:H1"/>
    <mergeCell ref="B2:H2"/>
    <mergeCell ref="B4:H4"/>
    <mergeCell ref="B12:H12"/>
    <mergeCell ref="B18:H18"/>
    <mergeCell ref="C19:H19"/>
    <mergeCell ref="C20:H20"/>
    <mergeCell ref="C21:H21"/>
    <mergeCell ref="C22:H22"/>
    <mergeCell ref="C23:H23"/>
    <mergeCell ref="C24:H24"/>
    <mergeCell ref="C25:H25"/>
    <mergeCell ref="C26:H26"/>
    <mergeCell ref="B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10" min="3" style="1" width="18"/>
  </cols>
  <sheetData>
    <row r="1" customFormat="false" ht="48" hidden="false" customHeight="true" outlineLevel="0" collapsed="false">
      <c r="B1" s="30" t="s">
        <v>76</v>
      </c>
      <c r="C1" s="30"/>
      <c r="D1" s="30"/>
      <c r="E1" s="30"/>
      <c r="F1" s="30"/>
      <c r="G1" s="30"/>
      <c r="H1" s="30"/>
      <c r="I1" s="30"/>
      <c r="J1" s="30"/>
    </row>
    <row r="2" customFormat="false" ht="16.5" hidden="false" customHeight="true" outlineLevel="0" collapsed="false">
      <c r="B2" s="31" t="s">
        <v>77</v>
      </c>
      <c r="C2" s="31"/>
      <c r="D2" s="31"/>
      <c r="E2" s="31"/>
      <c r="F2" s="31"/>
      <c r="G2" s="31"/>
      <c r="H2" s="31"/>
      <c r="I2" s="31"/>
      <c r="J2" s="31"/>
    </row>
    <row r="4" customFormat="false" ht="18.75" hidden="false" customHeight="true" outlineLevel="0" collapsed="false">
      <c r="B4" s="26" t="s">
        <v>78</v>
      </c>
      <c r="C4" s="26"/>
      <c r="D4" s="26"/>
      <c r="E4" s="26"/>
      <c r="F4" s="26"/>
      <c r="G4" s="26"/>
      <c r="H4" s="26"/>
      <c r="I4" s="26"/>
    </row>
    <row r="5" customFormat="false" ht="15" hidden="false" customHeight="true" outlineLevel="0" collapsed="false">
      <c r="B5" s="32" t="s">
        <v>79</v>
      </c>
      <c r="C5" s="33" t="s">
        <v>14</v>
      </c>
      <c r="E5" s="34" t="s">
        <v>80</v>
      </c>
      <c r="F5" s="33" t="n">
        <v>9900</v>
      </c>
      <c r="H5" s="34" t="s">
        <v>81</v>
      </c>
      <c r="I5" s="33" t="n">
        <v>33000</v>
      </c>
    </row>
    <row r="6" customFormat="false" ht="26.25" hidden="false" customHeight="true" outlineLevel="0" collapsed="false">
      <c r="B6" s="34" t="s">
        <v>82</v>
      </c>
      <c r="C6" s="33" t="n">
        <v>99000</v>
      </c>
      <c r="E6" s="32" t="s">
        <v>83</v>
      </c>
      <c r="F6" s="35" t="n">
        <v>0.2</v>
      </c>
      <c r="H6" s="32" t="s">
        <v>84</v>
      </c>
      <c r="I6" s="35" t="n">
        <v>0.3</v>
      </c>
    </row>
    <row r="7" customFormat="false" ht="15" hidden="false" customHeight="true" outlineLevel="0" collapsed="false">
      <c r="B7" s="32" t="s">
        <v>85</v>
      </c>
      <c r="C7" s="35" t="n">
        <v>0.5</v>
      </c>
      <c r="E7" s="32" t="s">
        <v>86</v>
      </c>
      <c r="F7" s="33" t="n">
        <v>400000</v>
      </c>
      <c r="H7" s="32" t="s">
        <v>87</v>
      </c>
      <c r="I7" s="33" t="n">
        <v>800000</v>
      </c>
    </row>
    <row r="8" customFormat="false" ht="15" hidden="false" customHeight="true" outlineLevel="0" collapsed="false">
      <c r="B8" s="32" t="s">
        <v>88</v>
      </c>
      <c r="C8" s="33" t="n">
        <v>1400000</v>
      </c>
      <c r="E8" s="32" t="s">
        <v>89</v>
      </c>
      <c r="F8" s="35" t="n">
        <v>0.08</v>
      </c>
      <c r="H8" s="32" t="s">
        <v>90</v>
      </c>
      <c r="I8" s="35" t="n">
        <v>0.82</v>
      </c>
    </row>
    <row r="10" customFormat="false" ht="18.75" hidden="false" customHeight="true" outlineLevel="0" collapsed="false">
      <c r="B10" s="36" t="s">
        <v>91</v>
      </c>
      <c r="C10" s="36"/>
      <c r="D10" s="36"/>
      <c r="E10" s="36"/>
      <c r="F10" s="36"/>
      <c r="G10" s="36"/>
      <c r="H10" s="36"/>
      <c r="I10" s="36"/>
    </row>
    <row r="11" customFormat="false" ht="15" hidden="false" customHeight="true" outlineLevel="0" collapsed="false">
      <c r="B11" s="37" t="s">
        <v>92</v>
      </c>
      <c r="C11" s="38" t="s">
        <v>93</v>
      </c>
      <c r="D11" s="38" t="s">
        <v>94</v>
      </c>
      <c r="E11" s="38" t="s">
        <v>95</v>
      </c>
      <c r="F11" s="37" t="s">
        <v>96</v>
      </c>
      <c r="G11" s="37"/>
      <c r="H11" s="37"/>
      <c r="I11" s="37"/>
    </row>
    <row r="12" customFormat="false" ht="16.5" hidden="false" customHeight="true" outlineLevel="0" collapsed="false">
      <c r="B12" s="39" t="s">
        <v>41</v>
      </c>
      <c r="C12" s="23" t="n">
        <f aca="false">F5</f>
        <v>9900</v>
      </c>
      <c r="D12" s="23" t="n">
        <f aca="false">I5</f>
        <v>33000</v>
      </c>
      <c r="E12" s="23" t="n">
        <f aca="false">C6</f>
        <v>99000</v>
      </c>
      <c r="F12" s="40" t="s">
        <v>97</v>
      </c>
      <c r="G12" s="40"/>
      <c r="H12" s="40"/>
      <c r="I12" s="40"/>
    </row>
    <row r="13" customFormat="false" ht="16.5" hidden="false" customHeight="true" outlineLevel="0" collapsed="false">
      <c r="B13" s="41" t="s">
        <v>42</v>
      </c>
      <c r="C13" s="24" t="n">
        <f aca="false">F5*12</f>
        <v>118800</v>
      </c>
      <c r="D13" s="24" t="n">
        <f aca="false">I5*12</f>
        <v>396000</v>
      </c>
      <c r="E13" s="24" t="n">
        <f aca="false">C6*12</f>
        <v>1188000</v>
      </c>
      <c r="F13" s="42" t="s">
        <v>98</v>
      </c>
      <c r="G13" s="42"/>
      <c r="H13" s="42"/>
      <c r="I13" s="42"/>
    </row>
    <row r="14" customFormat="false" ht="16.5" hidden="false" customHeight="true" outlineLevel="0" collapsed="false">
      <c r="B14" s="39" t="s">
        <v>99</v>
      </c>
      <c r="C14" s="43" t="n">
        <f aca="false">F5*F6</f>
        <v>1980</v>
      </c>
      <c r="D14" s="43" t="n">
        <f aca="false">I5*I6</f>
        <v>9900</v>
      </c>
      <c r="E14" s="43" t="n">
        <f aca="false">C6*C7</f>
        <v>49500</v>
      </c>
      <c r="F14" s="40" t="s">
        <v>100</v>
      </c>
      <c r="G14" s="40"/>
      <c r="H14" s="40"/>
      <c r="I14" s="40"/>
    </row>
    <row r="15" customFormat="false" ht="16.5" hidden="false" customHeight="true" outlineLevel="0" collapsed="false">
      <c r="B15" s="44" t="s">
        <v>101</v>
      </c>
      <c r="C15" s="45" t="n">
        <f aca="false">ROUNDUP(1/F6,0)</f>
        <v>5</v>
      </c>
      <c r="D15" s="45" t="n">
        <f aca="false">ROUNDUP(1/I6,0)</f>
        <v>4</v>
      </c>
      <c r="E15" s="45" t="n">
        <f aca="false">ROUNDUP(1/C7,0)</f>
        <v>2</v>
      </c>
      <c r="F15" s="46" t="s">
        <v>102</v>
      </c>
      <c r="G15" s="46"/>
      <c r="H15" s="46"/>
      <c r="I15" s="46"/>
    </row>
    <row r="16" customFormat="false" ht="16.5" hidden="false" customHeight="true" outlineLevel="0" collapsed="false">
      <c r="B16" s="39" t="s">
        <v>103</v>
      </c>
      <c r="C16" s="23" t="n">
        <f aca="false">F5*F6</f>
        <v>1980</v>
      </c>
      <c r="D16" s="23" t="n">
        <f aca="false">I5*I6</f>
        <v>9900</v>
      </c>
      <c r="E16" s="23" t="n">
        <f aca="false">C6*C7</f>
        <v>49500</v>
      </c>
      <c r="F16" s="40" t="s">
        <v>104</v>
      </c>
      <c r="G16" s="40"/>
      <c r="H16" s="40"/>
      <c r="I16" s="40"/>
    </row>
    <row r="17" customFormat="false" ht="16.5" hidden="false" customHeight="true" outlineLevel="0" collapsed="false">
      <c r="B17" s="41" t="s">
        <v>105</v>
      </c>
      <c r="C17" s="24" t="n">
        <f aca="false">10*F5*F6</f>
        <v>19800</v>
      </c>
      <c r="D17" s="24" t="n">
        <f aca="false">10*I5*I6</f>
        <v>99000</v>
      </c>
      <c r="E17" s="24" t="n">
        <f aca="false">10*C6*C7</f>
        <v>495000</v>
      </c>
      <c r="F17" s="47" t="s">
        <v>106</v>
      </c>
      <c r="G17" s="47"/>
      <c r="H17" s="47"/>
      <c r="I17" s="47"/>
    </row>
    <row r="18" customFormat="false" ht="16.5" hidden="false" customHeight="true" outlineLevel="0" collapsed="false">
      <c r="B18" s="39" t="s">
        <v>107</v>
      </c>
      <c r="C18" s="23" t="n">
        <f aca="false">20*F5*F6</f>
        <v>39600</v>
      </c>
      <c r="D18" s="23" t="n">
        <f aca="false">20*I5*I6</f>
        <v>198000</v>
      </c>
      <c r="E18" s="23" t="n">
        <f aca="false">20*C6*C7</f>
        <v>990000</v>
      </c>
      <c r="F18" s="40" t="s">
        <v>108</v>
      </c>
      <c r="G18" s="40"/>
      <c r="H18" s="40"/>
      <c r="I18" s="40"/>
    </row>
    <row r="19" customFormat="false" ht="16.5" hidden="false" customHeight="true" outlineLevel="0" collapsed="false">
      <c r="B19" s="48" t="s">
        <v>109</v>
      </c>
      <c r="C19" s="49" t="n">
        <f aca="false">50*F5*F6*12</f>
        <v>1188000</v>
      </c>
      <c r="D19" s="49" t="n">
        <f aca="false">50*I5*I6*12</f>
        <v>5940000</v>
      </c>
      <c r="E19" s="49" t="n">
        <f aca="false">50*C6*C7*12</f>
        <v>29700000</v>
      </c>
      <c r="F19" s="50" t="s">
        <v>110</v>
      </c>
      <c r="G19" s="50"/>
      <c r="H19" s="50"/>
      <c r="I19" s="50"/>
    </row>
    <row r="22" customFormat="false" ht="19.5" hidden="false" customHeight="true" outlineLevel="0" collapsed="false">
      <c r="B22" s="51" t="s">
        <v>111</v>
      </c>
      <c r="C22" s="51"/>
      <c r="D22" s="51"/>
      <c r="E22" s="51"/>
      <c r="F22" s="51"/>
      <c r="G22" s="51"/>
      <c r="H22" s="51"/>
      <c r="I22" s="51"/>
    </row>
    <row r="23" customFormat="false" ht="29.25" hidden="false" customHeight="true" outlineLevel="0" collapsed="false">
      <c r="B23" s="37" t="s">
        <v>112</v>
      </c>
      <c r="C23" s="37" t="s">
        <v>113</v>
      </c>
      <c r="D23" s="37" t="s">
        <v>114</v>
      </c>
      <c r="E23" s="37" t="s">
        <v>115</v>
      </c>
      <c r="F23" s="37" t="s">
        <v>116</v>
      </c>
      <c r="G23" s="37" t="s">
        <v>117</v>
      </c>
      <c r="H23" s="37"/>
      <c r="I23" s="37"/>
    </row>
    <row r="24" customFormat="false" ht="16.5" hidden="false" customHeight="true" outlineLevel="0" collapsed="false">
      <c r="B24" s="39" t="s">
        <v>118</v>
      </c>
      <c r="C24" s="23" t="n">
        <f aca="false">F7</f>
        <v>400000</v>
      </c>
      <c r="D24" s="23" t="n">
        <f aca="false">F7*F8</f>
        <v>32000</v>
      </c>
      <c r="E24" s="52" t="n">
        <f aca="false">ROUNDUP(F7/(F7*F8),0)</f>
        <v>13</v>
      </c>
      <c r="F24" s="53" t="n">
        <f aca="false">ROUNDUP(1/F6,0)</f>
        <v>5</v>
      </c>
      <c r="G24" s="54" t="s">
        <v>119</v>
      </c>
      <c r="H24" s="54"/>
      <c r="I24" s="54"/>
    </row>
    <row r="25" customFormat="false" ht="16.5" hidden="false" customHeight="true" outlineLevel="0" collapsed="false">
      <c r="B25" s="41" t="s">
        <v>120</v>
      </c>
      <c r="C25" s="24" t="n">
        <v>480000</v>
      </c>
      <c r="D25" s="24" t="n">
        <f aca="false">480000*F8</f>
        <v>38400</v>
      </c>
      <c r="E25" s="55" t="n">
        <f aca="false">ROUNDUP(480000/(480000*F8),0)</f>
        <v>13</v>
      </c>
      <c r="F25" s="56" t="n">
        <f aca="false">ROUNDUP(480000/(F5*F6),0)</f>
        <v>243</v>
      </c>
      <c r="G25" s="42" t="s">
        <v>121</v>
      </c>
      <c r="H25" s="42"/>
      <c r="I25" s="42"/>
    </row>
    <row r="26" customFormat="false" ht="16.5" hidden="false" customHeight="true" outlineLevel="0" collapsed="false">
      <c r="B26" s="48" t="s">
        <v>122</v>
      </c>
      <c r="C26" s="49" t="n">
        <f aca="false">I7</f>
        <v>800000</v>
      </c>
      <c r="D26" s="49" t="n">
        <f aca="false">I7*F8</f>
        <v>64000</v>
      </c>
      <c r="E26" s="57" t="n">
        <f aca="false">ROUNDUP(I7/(I7*F8),0)</f>
        <v>13</v>
      </c>
      <c r="F26" s="58" t="n">
        <f aca="false">ROUNDUP(I7/(I5*I6),0)</f>
        <v>81</v>
      </c>
      <c r="G26" s="59" t="s">
        <v>123</v>
      </c>
      <c r="H26" s="59"/>
      <c r="I26" s="59"/>
    </row>
    <row r="27" customFormat="false" ht="16.5" hidden="false" customHeight="true" outlineLevel="0" collapsed="false">
      <c r="B27" s="60" t="s">
        <v>124</v>
      </c>
      <c r="C27" s="61" t="n">
        <v>960000</v>
      </c>
      <c r="D27" s="61" t="n">
        <f aca="false">960000*F8</f>
        <v>76800</v>
      </c>
      <c r="E27" s="62" t="n">
        <f aca="false">ROUNDUP(960000/(960000*F8),0)</f>
        <v>13</v>
      </c>
      <c r="F27" s="63" t="n">
        <f aca="false">ROUNDUP(960000/(I5*I6),0)</f>
        <v>97</v>
      </c>
      <c r="G27" s="64" t="s">
        <v>125</v>
      </c>
      <c r="H27" s="64"/>
      <c r="I27" s="64"/>
    </row>
    <row r="28" customFormat="false" ht="16.5" hidden="false" customHeight="true" outlineLevel="0" collapsed="false">
      <c r="B28" s="65" t="s">
        <v>126</v>
      </c>
      <c r="C28" s="25" t="n">
        <f aca="false">C8</f>
        <v>1400000</v>
      </c>
      <c r="D28" s="25" t="n">
        <f aca="false">C8*0.1</f>
        <v>140000</v>
      </c>
      <c r="E28" s="66" t="n">
        <f aca="false">ROUNDUP(C8/(C8*0.1),0)</f>
        <v>10</v>
      </c>
      <c r="F28" s="67" t="n">
        <f aca="false">ROUNDUP(C8/(C6*C7),0)</f>
        <v>29</v>
      </c>
      <c r="G28" s="68" t="s">
        <v>127</v>
      </c>
      <c r="H28" s="68"/>
      <c r="I28" s="68"/>
    </row>
    <row r="31" customFormat="false" ht="19.5" hidden="false" customHeight="true" outlineLevel="0" collapsed="false">
      <c r="B31" s="69" t="s">
        <v>128</v>
      </c>
      <c r="C31" s="69"/>
      <c r="D31" s="69"/>
      <c r="E31" s="69"/>
      <c r="F31" s="69"/>
      <c r="G31" s="69"/>
      <c r="H31" s="69"/>
      <c r="I31" s="69"/>
    </row>
    <row r="32" customFormat="false" ht="29.25" hidden="false" customHeight="true" outlineLevel="0" collapsed="false">
      <c r="B32" s="37" t="s">
        <v>129</v>
      </c>
      <c r="C32" s="37" t="s">
        <v>130</v>
      </c>
      <c r="D32" s="37" t="s">
        <v>131</v>
      </c>
      <c r="E32" s="37" t="s">
        <v>132</v>
      </c>
      <c r="F32" s="37" t="s">
        <v>133</v>
      </c>
      <c r="G32" s="37" t="s">
        <v>134</v>
      </c>
      <c r="H32" s="37" t="s">
        <v>135</v>
      </c>
      <c r="I32" s="37" t="s">
        <v>136</v>
      </c>
    </row>
    <row r="33" customFormat="false" ht="29.25" hidden="false" customHeight="true" outlineLevel="0" collapsed="false">
      <c r="B33" s="39" t="s">
        <v>137</v>
      </c>
      <c r="C33" s="70" t="n">
        <v>400000</v>
      </c>
      <c r="D33" s="23" t="n">
        <f aca="false">C33*0.08</f>
        <v>32000</v>
      </c>
      <c r="E33" s="23" t="n">
        <f aca="false">C33*0.02</f>
        <v>8000</v>
      </c>
      <c r="F33" s="23" t="n">
        <f aca="false">D33+E33</f>
        <v>40000</v>
      </c>
      <c r="G33" s="23" t="n">
        <f aca="false">F33*10</f>
        <v>400000</v>
      </c>
      <c r="H33" s="71" t="n">
        <f aca="false">F33*20</f>
        <v>800000</v>
      </c>
      <c r="I33" s="72" t="s">
        <v>138</v>
      </c>
    </row>
    <row r="34" customFormat="false" ht="29.25" hidden="false" customHeight="true" outlineLevel="0" collapsed="false">
      <c r="B34" s="41" t="s">
        <v>139</v>
      </c>
      <c r="C34" s="70" t="n">
        <v>800000</v>
      </c>
      <c r="D34" s="24" t="n">
        <f aca="false">C34*0.08</f>
        <v>64000</v>
      </c>
      <c r="E34" s="24" t="n">
        <f aca="false">C34*0.02</f>
        <v>16000</v>
      </c>
      <c r="F34" s="24" t="n">
        <f aca="false">D34+E34</f>
        <v>80000</v>
      </c>
      <c r="G34" s="24" t="n">
        <f aca="false">F34*10</f>
        <v>800000</v>
      </c>
      <c r="H34" s="73" t="n">
        <f aca="false">F34*20</f>
        <v>1600000</v>
      </c>
      <c r="I34" s="74" t="s">
        <v>140</v>
      </c>
    </row>
    <row r="35" customFormat="false" ht="16.5" hidden="false" customHeight="true" outlineLevel="0" collapsed="false">
      <c r="B35" s="65" t="s">
        <v>141</v>
      </c>
      <c r="C35" s="70" t="n">
        <v>1400000</v>
      </c>
      <c r="D35" s="25" t="n">
        <f aca="false">C35*0.1</f>
        <v>140000</v>
      </c>
      <c r="E35" s="25" t="n">
        <f aca="false">C35*0.03</f>
        <v>42000</v>
      </c>
      <c r="F35" s="25" t="n">
        <f aca="false">D35+E35</f>
        <v>182000</v>
      </c>
      <c r="G35" s="25" t="n">
        <f aca="false">F35*10</f>
        <v>1820000</v>
      </c>
      <c r="H35" s="75" t="n">
        <f aca="false">F35*20</f>
        <v>3640000</v>
      </c>
      <c r="I35" s="76" t="s">
        <v>142</v>
      </c>
    </row>
    <row r="36" customFormat="false" ht="16.5" hidden="false" customHeight="true" outlineLevel="0" collapsed="false">
      <c r="B36" s="48" t="s">
        <v>143</v>
      </c>
      <c r="C36" s="70" t="n">
        <v>1000000</v>
      </c>
      <c r="D36" s="49" t="n">
        <f aca="false">C36*0.82*0.08</f>
        <v>65600</v>
      </c>
      <c r="E36" s="49" t="n">
        <f aca="false">C36*0.82*0.02</f>
        <v>16400</v>
      </c>
      <c r="F36" s="49" t="n">
        <f aca="false">D36+E36</f>
        <v>82000</v>
      </c>
      <c r="G36" s="49" t="n">
        <f aca="false">F36*10</f>
        <v>820000</v>
      </c>
      <c r="H36" s="77" t="n">
        <f aca="false">F36*20</f>
        <v>1640000</v>
      </c>
      <c r="I36" s="78" t="s">
        <v>144</v>
      </c>
    </row>
    <row r="37" customFormat="false" ht="16.5" hidden="false" customHeight="true" outlineLevel="0" collapsed="false">
      <c r="B37" s="39" t="s">
        <v>145</v>
      </c>
      <c r="C37" s="70" t="n">
        <v>150000</v>
      </c>
      <c r="D37" s="23" t="n">
        <f aca="false">C37*0.1</f>
        <v>15000</v>
      </c>
      <c r="E37" s="23" t="n">
        <f aca="false">C37*0.02</f>
        <v>3000</v>
      </c>
      <c r="F37" s="23" t="n">
        <f aca="false">D37+E37</f>
        <v>18000</v>
      </c>
      <c r="G37" s="23" t="n">
        <f aca="false">F37*10</f>
        <v>180000</v>
      </c>
      <c r="H37" s="71" t="n">
        <f aca="false">F37*20</f>
        <v>360000</v>
      </c>
      <c r="I37" s="79" t="s">
        <v>146</v>
      </c>
    </row>
    <row r="38" customFormat="false" ht="16.5" hidden="false" customHeight="true" outlineLevel="0" collapsed="false">
      <c r="B38" s="80" t="s">
        <v>147</v>
      </c>
      <c r="C38" s="70" t="n">
        <v>350000</v>
      </c>
      <c r="D38" s="24" t="n">
        <f aca="false">C38*0.12</f>
        <v>42000</v>
      </c>
      <c r="E38" s="24" t="n">
        <f aca="false">C38*0.03</f>
        <v>10500</v>
      </c>
      <c r="F38" s="24" t="n">
        <f aca="false">D38+E38</f>
        <v>52500</v>
      </c>
      <c r="G38" s="24" t="n">
        <f aca="false">F38*10</f>
        <v>525000</v>
      </c>
      <c r="H38" s="73" t="n">
        <f aca="false">F38*20</f>
        <v>1050000</v>
      </c>
      <c r="I38" s="74" t="s">
        <v>148</v>
      </c>
    </row>
    <row r="39" customFormat="false" ht="16.5" hidden="false" customHeight="true" outlineLevel="0" collapsed="false">
      <c r="B39" s="60" t="s">
        <v>149</v>
      </c>
      <c r="C39" s="70" t="n">
        <v>300000</v>
      </c>
      <c r="D39" s="61" t="n">
        <f aca="false">C39*0.06</f>
        <v>18000</v>
      </c>
      <c r="E39" s="61" t="n">
        <f aca="false">C39*0.02</f>
        <v>6000</v>
      </c>
      <c r="F39" s="61" t="n">
        <f aca="false">D39+E39</f>
        <v>24000</v>
      </c>
      <c r="G39" s="61" t="n">
        <f aca="false">F39*10</f>
        <v>240000</v>
      </c>
      <c r="H39" s="81" t="n">
        <f aca="false">F39*20</f>
        <v>480000</v>
      </c>
      <c r="I39" s="82" t="s">
        <v>150</v>
      </c>
    </row>
    <row r="41" customFormat="false" ht="30" hidden="false" customHeight="true" outlineLevel="0" collapsed="false">
      <c r="B41" s="83" t="s">
        <v>151</v>
      </c>
      <c r="C41" s="83"/>
      <c r="D41" s="83"/>
      <c r="E41" s="83"/>
      <c r="F41" s="84" t="n">
        <f aca="false">SUM(F33:F39)</f>
        <v>478500</v>
      </c>
      <c r="G41" s="84" t="n">
        <f aca="false">SUM(G33:G39)</f>
        <v>4785000</v>
      </c>
      <c r="H41" s="84" t="n">
        <f aca="false">SUM(H33:H39)</f>
        <v>9570000</v>
      </c>
      <c r="I41" s="85" t="s">
        <v>152</v>
      </c>
    </row>
    <row r="44" customFormat="false" ht="19.5" hidden="false" customHeight="true" outlineLevel="0" collapsed="false">
      <c r="B44" s="86" t="s">
        <v>153</v>
      </c>
      <c r="C44" s="86"/>
      <c r="D44" s="86"/>
      <c r="E44" s="86"/>
      <c r="F44" s="86"/>
      <c r="G44" s="86"/>
      <c r="H44" s="86"/>
      <c r="I44" s="86"/>
    </row>
    <row r="45" customFormat="false" ht="36.75" hidden="false" customHeight="true" outlineLevel="0" collapsed="false">
      <c r="B45" s="87" t="s">
        <v>154</v>
      </c>
      <c r="C45" s="87" t="s">
        <v>155</v>
      </c>
      <c r="D45" s="87" t="s">
        <v>156</v>
      </c>
      <c r="E45" s="87" t="s">
        <v>157</v>
      </c>
      <c r="F45" s="87" t="s">
        <v>158</v>
      </c>
      <c r="G45" s="87" t="s">
        <v>159</v>
      </c>
      <c r="H45" s="87" t="s">
        <v>6</v>
      </c>
      <c r="I45" s="87" t="s">
        <v>160</v>
      </c>
    </row>
    <row r="46" customFormat="false" ht="16.5" hidden="false" customHeight="true" outlineLevel="0" collapsed="false">
      <c r="B46" s="88" t="s">
        <v>161</v>
      </c>
      <c r="C46" s="33" t="n">
        <v>3</v>
      </c>
      <c r="D46" s="23" t="n">
        <f aca="false">C46*F5*F6</f>
        <v>5940</v>
      </c>
      <c r="E46" s="70" t="n">
        <v>500000</v>
      </c>
      <c r="F46" s="70" t="n">
        <v>932400</v>
      </c>
      <c r="G46" s="71" t="n">
        <f aca="false">D46+E46+F46</f>
        <v>1438340</v>
      </c>
      <c r="H46" s="71" t="n">
        <f aca="false">(D46+E46+F46)*12</f>
        <v>17260080</v>
      </c>
      <c r="I46" s="7" t="s">
        <v>162</v>
      </c>
    </row>
    <row r="47" customFormat="false" ht="16.5" hidden="false" customHeight="true" outlineLevel="0" collapsed="false">
      <c r="B47" s="89" t="s">
        <v>163</v>
      </c>
      <c r="C47" s="33" t="n">
        <v>10</v>
      </c>
      <c r="D47" s="24" t="n">
        <f aca="false">C47*F5*F6</f>
        <v>19800</v>
      </c>
      <c r="E47" s="70" t="n">
        <v>1500000</v>
      </c>
      <c r="F47" s="70" t="n">
        <v>2450000</v>
      </c>
      <c r="G47" s="73" t="n">
        <f aca="false">D47+E47+F47</f>
        <v>3969800</v>
      </c>
      <c r="H47" s="73" t="n">
        <f aca="false">(D47+E47+F47)*12</f>
        <v>47637600</v>
      </c>
      <c r="I47" s="10" t="s">
        <v>164</v>
      </c>
    </row>
    <row r="48" customFormat="false" ht="16.5" hidden="false" customHeight="true" outlineLevel="0" collapsed="false">
      <c r="B48" s="90" t="s">
        <v>165</v>
      </c>
      <c r="C48" s="33" t="n">
        <v>25</v>
      </c>
      <c r="D48" s="49" t="n">
        <f aca="false">C48*I5*I6</f>
        <v>247500</v>
      </c>
      <c r="E48" s="70" t="n">
        <v>3000000</v>
      </c>
      <c r="F48" s="70" t="n">
        <v>5008000</v>
      </c>
      <c r="G48" s="77" t="n">
        <f aca="false">D48+E48+F48</f>
        <v>8255500</v>
      </c>
      <c r="H48" s="77" t="n">
        <f aca="false">(D48+E48+F48)*12</f>
        <v>99066000</v>
      </c>
      <c r="I48" s="13" t="s">
        <v>166</v>
      </c>
    </row>
    <row r="49" customFormat="false" ht="16.5" hidden="false" customHeight="true" outlineLevel="0" collapsed="false">
      <c r="B49" s="91" t="s">
        <v>167</v>
      </c>
      <c r="C49" s="33" t="n">
        <v>50</v>
      </c>
      <c r="D49" s="61" t="n">
        <f aca="false">C49*I5*I6</f>
        <v>495000</v>
      </c>
      <c r="E49" s="70" t="n">
        <v>8000000</v>
      </c>
      <c r="F49" s="70" t="n">
        <v>25056000</v>
      </c>
      <c r="G49" s="81" t="n">
        <f aca="false">D49+E49+F49</f>
        <v>33551000</v>
      </c>
      <c r="H49" s="81" t="n">
        <f aca="false">(D49+E49+F49)*12</f>
        <v>402612000</v>
      </c>
      <c r="I49" s="16" t="s">
        <v>168</v>
      </c>
    </row>
    <row r="50" customFormat="false" ht="16.5" hidden="false" customHeight="true" outlineLevel="0" collapsed="false">
      <c r="B50" s="92" t="s">
        <v>169</v>
      </c>
      <c r="C50" s="33" t="n">
        <v>100</v>
      </c>
      <c r="D50" s="25" t="n">
        <f aca="false">C50*C6*C7</f>
        <v>4950000</v>
      </c>
      <c r="E50" s="70" t="n">
        <v>20000000</v>
      </c>
      <c r="F50" s="70" t="n">
        <v>98313000</v>
      </c>
      <c r="G50" s="75" t="n">
        <f aca="false">D50+E50+F50</f>
        <v>123263000</v>
      </c>
      <c r="H50" s="93" t="n">
        <f aca="false">(D50+E50+F50)*12</f>
        <v>1479156000</v>
      </c>
      <c r="I50" s="94" t="s">
        <v>170</v>
      </c>
    </row>
    <row r="52" customFormat="false" ht="34.5" hidden="false" customHeight="true" outlineLevel="0" collapsed="false">
      <c r="B52" s="95" t="s">
        <v>171</v>
      </c>
      <c r="C52" s="95"/>
      <c r="D52" s="95"/>
      <c r="E52" s="95"/>
      <c r="F52" s="95"/>
      <c r="G52" s="95"/>
      <c r="H52" s="95"/>
      <c r="I52" s="95"/>
    </row>
  </sheetData>
  <mergeCells count="24">
    <mergeCell ref="B1:J1"/>
    <mergeCell ref="B2:J2"/>
    <mergeCell ref="B4:I4"/>
    <mergeCell ref="B10:I10"/>
    <mergeCell ref="F11:I11"/>
    <mergeCell ref="F12:I12"/>
    <mergeCell ref="F13:I13"/>
    <mergeCell ref="F14:I14"/>
    <mergeCell ref="F15:I15"/>
    <mergeCell ref="F16:I16"/>
    <mergeCell ref="F17:I17"/>
    <mergeCell ref="F18:I18"/>
    <mergeCell ref="F19:I19"/>
    <mergeCell ref="B22:I22"/>
    <mergeCell ref="G23:I23"/>
    <mergeCell ref="G24:I24"/>
    <mergeCell ref="G25:I25"/>
    <mergeCell ref="G26:I26"/>
    <mergeCell ref="G27:I27"/>
    <mergeCell ref="G28:I28"/>
    <mergeCell ref="B31:I31"/>
    <mergeCell ref="B41:E41"/>
    <mergeCell ref="B44:I44"/>
    <mergeCell ref="B52:I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10" min="3" style="1" width="16"/>
  </cols>
  <sheetData>
    <row r="1" customFormat="false" ht="48" hidden="false" customHeight="true" outlineLevel="0" collapsed="false">
      <c r="B1" s="96" t="s">
        <v>172</v>
      </c>
      <c r="C1" s="96"/>
      <c r="D1" s="96"/>
      <c r="E1" s="96"/>
      <c r="F1" s="96"/>
      <c r="G1" s="96"/>
      <c r="H1" s="96"/>
      <c r="I1" s="96"/>
      <c r="J1" s="96"/>
    </row>
    <row r="2" customFormat="false" ht="16.5" hidden="false" customHeight="true" outlineLevel="0" collapsed="false">
      <c r="B2" s="31" t="s">
        <v>173</v>
      </c>
      <c r="C2" s="31"/>
      <c r="D2" s="31"/>
      <c r="E2" s="31"/>
      <c r="F2" s="31"/>
      <c r="G2" s="31"/>
      <c r="H2" s="31"/>
      <c r="I2" s="31"/>
      <c r="J2" s="31"/>
    </row>
    <row r="4" customFormat="false" ht="18.75" hidden="false" customHeight="true" outlineLevel="0" collapsed="false">
      <c r="B4" s="26" t="s">
        <v>174</v>
      </c>
      <c r="C4" s="26"/>
      <c r="D4" s="26"/>
      <c r="E4" s="26"/>
      <c r="F4" s="26"/>
      <c r="G4" s="26"/>
      <c r="H4" s="26"/>
      <c r="I4" s="26"/>
    </row>
    <row r="5" customFormat="false" ht="15" hidden="false" customHeight="true" outlineLevel="0" collapsed="false">
      <c r="B5" s="32" t="s">
        <v>175</v>
      </c>
      <c r="C5" s="33" t="s">
        <v>25</v>
      </c>
      <c r="E5" s="32" t="s">
        <v>176</v>
      </c>
      <c r="F5" s="33" t="n">
        <v>33000</v>
      </c>
      <c r="H5" s="32" t="s">
        <v>177</v>
      </c>
      <c r="I5" s="33" t="n">
        <v>30000000</v>
      </c>
    </row>
    <row r="6" customFormat="false" ht="15" hidden="false" customHeight="true" outlineLevel="0" collapsed="false">
      <c r="B6" s="32" t="s">
        <v>178</v>
      </c>
      <c r="C6" s="35" t="n">
        <v>0.005</v>
      </c>
      <c r="E6" s="32" t="s">
        <v>9</v>
      </c>
      <c r="F6" s="35" t="n">
        <v>0.3</v>
      </c>
      <c r="H6" s="32" t="s">
        <v>179</v>
      </c>
      <c r="I6" s="33" t="n">
        <v>9900</v>
      </c>
    </row>
    <row r="9" customFormat="false" ht="19.5" hidden="false" customHeight="true" outlineLevel="0" collapsed="false">
      <c r="B9" s="51" t="s">
        <v>180</v>
      </c>
      <c r="C9" s="51"/>
      <c r="D9" s="51"/>
      <c r="E9" s="51"/>
      <c r="F9" s="51"/>
      <c r="G9" s="51"/>
      <c r="H9" s="51"/>
      <c r="I9" s="51"/>
    </row>
    <row r="10" customFormat="false" ht="36.75" hidden="false" customHeight="true" outlineLevel="0" collapsed="false">
      <c r="B10" s="87" t="s">
        <v>181</v>
      </c>
      <c r="C10" s="87" t="s">
        <v>182</v>
      </c>
      <c r="D10" s="87" t="s">
        <v>183</v>
      </c>
      <c r="E10" s="87" t="s">
        <v>184</v>
      </c>
      <c r="F10" s="87" t="s">
        <v>185</v>
      </c>
      <c r="G10" s="87" t="s">
        <v>186</v>
      </c>
      <c r="H10" s="87" t="s">
        <v>187</v>
      </c>
      <c r="I10" s="87" t="s">
        <v>188</v>
      </c>
    </row>
    <row r="11" customFormat="false" ht="29.25" hidden="false" customHeight="true" outlineLevel="0" collapsed="false">
      <c r="B11" s="88" t="s">
        <v>189</v>
      </c>
      <c r="C11" s="33" t="n">
        <v>1</v>
      </c>
      <c r="D11" s="23" t="n">
        <f aca="false">C11*F5*F6</f>
        <v>9900</v>
      </c>
      <c r="E11" s="23" t="n">
        <f aca="false">F5</f>
        <v>33000</v>
      </c>
      <c r="F11" s="71" t="n">
        <f aca="false">D11-E11</f>
        <v>-23100</v>
      </c>
      <c r="G11" s="97" t="str">
        <f aca="false">IF(D11&gt;=E11,"✅ 공짜!","❌ ₩"&amp;TEXT(E11-D11,"#,##0")&amp;" 부족")</f>
        <v>❌ ₩23,100 부족</v>
      </c>
      <c r="H11" s="23" t="n">
        <f aca="false">MAX(D11-E11,0)*12</f>
        <v>0</v>
      </c>
      <c r="I11" s="79" t="s">
        <v>190</v>
      </c>
    </row>
    <row r="12" customFormat="false" ht="32.25" hidden="false" customHeight="true" outlineLevel="0" collapsed="false">
      <c r="B12" s="89" t="s">
        <v>191</v>
      </c>
      <c r="C12" s="33" t="n">
        <v>3</v>
      </c>
      <c r="D12" s="24" t="n">
        <f aca="false">C12*F5*F6</f>
        <v>29700</v>
      </c>
      <c r="E12" s="24" t="n">
        <f aca="false">F5</f>
        <v>33000</v>
      </c>
      <c r="F12" s="73" t="n">
        <f aca="false">D12-E12</f>
        <v>-3300</v>
      </c>
      <c r="G12" s="97" t="str">
        <f aca="false">IF(D12&gt;=E12,"✅ 공짜!","❌ ₩"&amp;TEXT(E12-D12,"#,##0")&amp;" 부족")</f>
        <v>❌ ₩3,300 부족</v>
      </c>
      <c r="H12" s="24" t="n">
        <f aca="false">MAX(D12-E12,0)*12</f>
        <v>0</v>
      </c>
      <c r="I12" s="98" t="s">
        <v>192</v>
      </c>
    </row>
    <row r="13" customFormat="false" ht="32.25" hidden="false" customHeight="true" outlineLevel="0" collapsed="false">
      <c r="B13" s="88" t="s">
        <v>193</v>
      </c>
      <c r="C13" s="33" t="n">
        <v>5</v>
      </c>
      <c r="D13" s="23" t="n">
        <f aca="false">C13*F5*F6</f>
        <v>49500</v>
      </c>
      <c r="E13" s="23" t="n">
        <f aca="false">F5</f>
        <v>33000</v>
      </c>
      <c r="F13" s="71" t="n">
        <f aca="false">D13-E13</f>
        <v>16500</v>
      </c>
      <c r="G13" s="99" t="str">
        <f aca="false">IF(D13&gt;=E13,"✅ 공짜!","❌ ₩"&amp;TEXT(E13-D13,"#,##0")&amp;" 부족")</f>
        <v>✅ 공짜!</v>
      </c>
      <c r="H13" s="23" t="n">
        <f aca="false">MAX(D13-E13,0)*12</f>
        <v>198000</v>
      </c>
      <c r="I13" s="72" t="s">
        <v>194</v>
      </c>
    </row>
    <row r="14" customFormat="false" ht="32.25" hidden="false" customHeight="true" outlineLevel="0" collapsed="false">
      <c r="B14" s="90" t="s">
        <v>195</v>
      </c>
      <c r="C14" s="33" t="n">
        <v>7</v>
      </c>
      <c r="D14" s="49" t="n">
        <f aca="false">C14*F5*F6</f>
        <v>69300</v>
      </c>
      <c r="E14" s="49" t="n">
        <f aca="false">F5</f>
        <v>33000</v>
      </c>
      <c r="F14" s="77" t="n">
        <f aca="false">D14-E14</f>
        <v>36300</v>
      </c>
      <c r="G14" s="99" t="str">
        <f aca="false">IF(D14&gt;=E14,"✅ 공짜!","❌ ₩"&amp;TEXT(E14-D14,"#,##0")&amp;" 부족")</f>
        <v>✅ 공짜!</v>
      </c>
      <c r="H14" s="49" t="n">
        <f aca="false">MAX(D14-E14,0)*12</f>
        <v>435600</v>
      </c>
      <c r="I14" s="100" t="s">
        <v>196</v>
      </c>
    </row>
    <row r="15" customFormat="false" ht="32.25" hidden="false" customHeight="true" outlineLevel="0" collapsed="false">
      <c r="B15" s="88" t="s">
        <v>197</v>
      </c>
      <c r="C15" s="33" t="n">
        <v>10</v>
      </c>
      <c r="D15" s="23" t="n">
        <f aca="false">C15*F5*F6</f>
        <v>99000</v>
      </c>
      <c r="E15" s="23" t="n">
        <f aca="false">F5</f>
        <v>33000</v>
      </c>
      <c r="F15" s="71" t="n">
        <f aca="false">D15-E15</f>
        <v>66000</v>
      </c>
      <c r="G15" s="99" t="str">
        <f aca="false">IF(D15&gt;=E15,"✅ 공짜!","❌ ₩"&amp;TEXT(E15-D15,"#,##0")&amp;" 부족")</f>
        <v>✅ 공짜!</v>
      </c>
      <c r="H15" s="23" t="n">
        <f aca="false">MAX(D15-E15,0)*12</f>
        <v>792000</v>
      </c>
      <c r="I15" s="79" t="s">
        <v>198</v>
      </c>
    </row>
    <row r="16" customFormat="false" ht="32.25" hidden="false" customHeight="true" outlineLevel="0" collapsed="false">
      <c r="B16" s="91" t="s">
        <v>199</v>
      </c>
      <c r="C16" s="33" t="n">
        <v>15</v>
      </c>
      <c r="D16" s="61" t="n">
        <f aca="false">C16*F5*F6</f>
        <v>148500</v>
      </c>
      <c r="E16" s="61" t="n">
        <f aca="false">F5</f>
        <v>33000</v>
      </c>
      <c r="F16" s="81" t="n">
        <f aca="false">D16-E16</f>
        <v>115500</v>
      </c>
      <c r="G16" s="99" t="str">
        <f aca="false">IF(D16&gt;=E16,"✅ 공짜!","❌ ₩"&amp;TEXT(E16-D16,"#,##0")&amp;" 부족")</f>
        <v>✅ 공짜!</v>
      </c>
      <c r="H16" s="61" t="n">
        <f aca="false">MAX(D16-E16,0)*12</f>
        <v>1386000</v>
      </c>
      <c r="I16" s="82" t="s">
        <v>200</v>
      </c>
    </row>
    <row r="17" customFormat="false" ht="32.25" hidden="false" customHeight="true" outlineLevel="0" collapsed="false">
      <c r="B17" s="88" t="s">
        <v>201</v>
      </c>
      <c r="C17" s="33" t="n">
        <v>20</v>
      </c>
      <c r="D17" s="23" t="n">
        <f aca="false">C17*F5*F6</f>
        <v>198000</v>
      </c>
      <c r="E17" s="23" t="n">
        <f aca="false">F5</f>
        <v>33000</v>
      </c>
      <c r="F17" s="71" t="n">
        <f aca="false">D17-E17</f>
        <v>165000</v>
      </c>
      <c r="G17" s="99" t="str">
        <f aca="false">IF(D17&gt;=E17,"✅ 공짜!","❌ ₩"&amp;TEXT(E17-D17,"#,##0")&amp;" 부족")</f>
        <v>✅ 공짜!</v>
      </c>
      <c r="H17" s="23" t="n">
        <f aca="false">MAX(D17-E17,0)*12</f>
        <v>1980000</v>
      </c>
      <c r="I17" s="79" t="s">
        <v>202</v>
      </c>
    </row>
    <row r="18" customFormat="false" ht="32.25" hidden="false" customHeight="true" outlineLevel="0" collapsed="false">
      <c r="B18" s="92" t="s">
        <v>203</v>
      </c>
      <c r="C18" s="33" t="n">
        <v>30</v>
      </c>
      <c r="D18" s="25" t="n">
        <f aca="false">C18*F5*F6</f>
        <v>297000</v>
      </c>
      <c r="E18" s="25" t="n">
        <f aca="false">F5</f>
        <v>33000</v>
      </c>
      <c r="F18" s="75" t="n">
        <f aca="false">D18-E18</f>
        <v>264000</v>
      </c>
      <c r="G18" s="99" t="str">
        <f aca="false">IF(D18&gt;=E18,"✅ 공짜!","❌ ₩"&amp;TEXT(E18-D18,"#,##0")&amp;" 부족")</f>
        <v>✅ 공짜!</v>
      </c>
      <c r="H18" s="25" t="n">
        <f aca="false">MAX(D18-E18,0)*12</f>
        <v>3168000</v>
      </c>
      <c r="I18" s="101" t="s">
        <v>204</v>
      </c>
    </row>
    <row r="19" customFormat="false" ht="32.25" hidden="false" customHeight="true" outlineLevel="0" collapsed="false">
      <c r="B19" s="88" t="s">
        <v>205</v>
      </c>
      <c r="C19" s="33" t="n">
        <v>50</v>
      </c>
      <c r="D19" s="23" t="n">
        <f aca="false">C19*F5*F6</f>
        <v>495000</v>
      </c>
      <c r="E19" s="23" t="n">
        <f aca="false">F5</f>
        <v>33000</v>
      </c>
      <c r="F19" s="71" t="n">
        <f aca="false">D19-E19</f>
        <v>462000</v>
      </c>
      <c r="G19" s="99" t="str">
        <f aca="false">IF(D19&gt;=E19,"✅ 공짜!","❌ ₩"&amp;TEXT(E19-D19,"#,##0")&amp;" 부족")</f>
        <v>✅ 공짜!</v>
      </c>
      <c r="H19" s="23" t="n">
        <f aca="false">MAX(D19-E19,0)*12</f>
        <v>5544000</v>
      </c>
      <c r="I19" s="79" t="s">
        <v>206</v>
      </c>
    </row>
    <row r="22" customFormat="false" ht="19.5" hidden="false" customHeight="true" outlineLevel="0" collapsed="false">
      <c r="B22" s="102" t="s">
        <v>207</v>
      </c>
      <c r="C22" s="102"/>
      <c r="D22" s="102"/>
      <c r="E22" s="102"/>
      <c r="F22" s="102"/>
      <c r="G22" s="102"/>
      <c r="H22" s="102"/>
      <c r="I22" s="102"/>
    </row>
    <row r="23" customFormat="false" ht="36.75" hidden="false" customHeight="true" outlineLevel="0" collapsed="false">
      <c r="B23" s="87" t="s">
        <v>208</v>
      </c>
      <c r="C23" s="87" t="s">
        <v>209</v>
      </c>
      <c r="D23" s="87" t="s">
        <v>210</v>
      </c>
      <c r="E23" s="87" t="s">
        <v>211</v>
      </c>
      <c r="F23" s="87" t="s">
        <v>212</v>
      </c>
      <c r="G23" s="87" t="s">
        <v>213</v>
      </c>
      <c r="H23" s="87" t="s">
        <v>214</v>
      </c>
      <c r="I23" s="87" t="s">
        <v>10</v>
      </c>
    </row>
    <row r="24" customFormat="false" ht="32.25" hidden="false" customHeight="true" outlineLevel="0" collapsed="false">
      <c r="B24" s="103" t="s">
        <v>215</v>
      </c>
      <c r="C24" s="104" t="s">
        <v>216</v>
      </c>
      <c r="D24" s="33" t="n">
        <v>1</v>
      </c>
      <c r="E24" s="105" t="n">
        <f aca="false">I5*D24</f>
        <v>30000000</v>
      </c>
      <c r="F24" s="106" t="n">
        <f aca="false">E24*C6</f>
        <v>150000</v>
      </c>
      <c r="G24" s="105" t="n">
        <f aca="false">D24*I6</f>
        <v>9900</v>
      </c>
      <c r="H24" s="105" t="n">
        <f aca="false">E24+F24+G24</f>
        <v>30159900</v>
      </c>
      <c r="I24" s="104" t="s">
        <v>217</v>
      </c>
    </row>
    <row r="25" customFormat="false" ht="32.25" hidden="false" customHeight="true" outlineLevel="0" collapsed="false">
      <c r="B25" s="107" t="s">
        <v>218</v>
      </c>
      <c r="C25" s="79" t="s">
        <v>219</v>
      </c>
      <c r="D25" s="33" t="n">
        <v>5</v>
      </c>
      <c r="E25" s="23" t="n">
        <f aca="false">I5*D25</f>
        <v>150000000</v>
      </c>
      <c r="F25" s="71" t="n">
        <f aca="false">E25*C6</f>
        <v>750000</v>
      </c>
      <c r="G25" s="23" t="n">
        <f aca="false">D25*I6</f>
        <v>49500</v>
      </c>
      <c r="H25" s="23" t="n">
        <f aca="false">E25+F25+G25</f>
        <v>150799500</v>
      </c>
      <c r="I25" s="79" t="s">
        <v>220</v>
      </c>
    </row>
    <row r="26" customFormat="false" ht="32.25" hidden="false" customHeight="true" outlineLevel="0" collapsed="false">
      <c r="B26" s="80" t="s">
        <v>221</v>
      </c>
      <c r="C26" s="74" t="s">
        <v>222</v>
      </c>
      <c r="D26" s="33" t="n">
        <v>15</v>
      </c>
      <c r="E26" s="24" t="n">
        <f aca="false">I5*D26</f>
        <v>450000000</v>
      </c>
      <c r="F26" s="73" t="n">
        <f aca="false">E26*C6*0.7</f>
        <v>1575000</v>
      </c>
      <c r="G26" s="24" t="n">
        <f aca="false">D26*I6</f>
        <v>148500</v>
      </c>
      <c r="H26" s="24" t="n">
        <f aca="false">E26+F26+G26</f>
        <v>451723500</v>
      </c>
      <c r="I26" s="74" t="s">
        <v>223</v>
      </c>
    </row>
    <row r="27" customFormat="false" ht="32.25" hidden="false" customHeight="true" outlineLevel="0" collapsed="false">
      <c r="B27" s="108" t="s">
        <v>224</v>
      </c>
      <c r="C27" s="78" t="s">
        <v>225</v>
      </c>
      <c r="D27" s="33" t="n">
        <v>40</v>
      </c>
      <c r="E27" s="49" t="n">
        <f aca="false">I5*D27</f>
        <v>1200000000</v>
      </c>
      <c r="F27" s="77" t="n">
        <f aca="false">E27*C6*0.5</f>
        <v>3000000</v>
      </c>
      <c r="G27" s="49" t="n">
        <f aca="false">D27*I6</f>
        <v>396000</v>
      </c>
      <c r="H27" s="49" t="n">
        <f aca="false">E27+F27+G27</f>
        <v>1203396000</v>
      </c>
      <c r="I27" s="78" t="s">
        <v>226</v>
      </c>
    </row>
    <row r="28" customFormat="false" ht="32.25" hidden="false" customHeight="true" outlineLevel="0" collapsed="false">
      <c r="B28" s="109" t="s">
        <v>227</v>
      </c>
      <c r="C28" s="101" t="s">
        <v>228</v>
      </c>
      <c r="D28" s="33" t="n">
        <v>100</v>
      </c>
      <c r="E28" s="25" t="n">
        <f aca="false">I5*D28</f>
        <v>3000000000</v>
      </c>
      <c r="F28" s="75" t="n">
        <f aca="false">E28*C6*0.3</f>
        <v>4500000</v>
      </c>
      <c r="G28" s="25" t="n">
        <f aca="false">D28*I6</f>
        <v>990000</v>
      </c>
      <c r="H28" s="25" t="n">
        <f aca="false">E28+F28+G28</f>
        <v>3005490000</v>
      </c>
      <c r="I28" s="101" t="s">
        <v>229</v>
      </c>
    </row>
    <row r="30" customFormat="false" ht="30" hidden="false" customHeight="true" outlineLevel="0" collapsed="false">
      <c r="B30" s="85" t="s">
        <v>230</v>
      </c>
      <c r="C30" s="85" t="s">
        <v>231</v>
      </c>
      <c r="D30" s="110" t="n">
        <f aca="false">SUM(D24:D28)</f>
        <v>161</v>
      </c>
      <c r="E30" s="84" t="n">
        <f aca="false">SUM(E24:E28)</f>
        <v>4830000000</v>
      </c>
      <c r="F30" s="84" t="n">
        <f aca="false">SUM(F24:F28)</f>
        <v>9975000</v>
      </c>
      <c r="G30" s="84" t="n">
        <f aca="false">SUM(G24:G28)</f>
        <v>1593900</v>
      </c>
      <c r="H30" s="84" t="n">
        <f aca="false">SUM(H24:H28)</f>
        <v>4841568900</v>
      </c>
      <c r="I30" s="84" t="n">
        <f aca="false">SUM(H24:H28)</f>
        <v>4841568900</v>
      </c>
      <c r="J30" s="85" t="s">
        <v>232</v>
      </c>
    </row>
    <row r="33" customFormat="false" ht="19.5" hidden="false" customHeight="true" outlineLevel="0" collapsed="false">
      <c r="B33" s="111" t="s">
        <v>233</v>
      </c>
      <c r="C33" s="111"/>
      <c r="D33" s="111"/>
      <c r="E33" s="111"/>
      <c r="F33" s="111"/>
      <c r="G33" s="111"/>
      <c r="H33" s="111"/>
      <c r="I33" s="111"/>
    </row>
    <row r="34" customFormat="false" ht="36.75" hidden="false" customHeight="true" outlineLevel="0" collapsed="false">
      <c r="B34" s="87" t="s">
        <v>234</v>
      </c>
      <c r="C34" s="87" t="s">
        <v>3</v>
      </c>
      <c r="D34" s="87" t="s">
        <v>155</v>
      </c>
      <c r="E34" s="87" t="s">
        <v>235</v>
      </c>
      <c r="F34" s="87" t="s">
        <v>236</v>
      </c>
      <c r="G34" s="87" t="s">
        <v>237</v>
      </c>
      <c r="H34" s="87"/>
      <c r="I34" s="87"/>
    </row>
    <row r="35" customFormat="false" ht="16.5" hidden="false" customHeight="true" outlineLevel="0" collapsed="false">
      <c r="B35" s="88" t="s">
        <v>238</v>
      </c>
      <c r="C35" s="6" t="s">
        <v>239</v>
      </c>
      <c r="D35" s="112" t="n">
        <v>3</v>
      </c>
      <c r="E35" s="113" t="n">
        <v>3</v>
      </c>
      <c r="F35" s="70" t="n">
        <v>932400</v>
      </c>
      <c r="G35" s="54" t="s">
        <v>240</v>
      </c>
      <c r="H35" s="54"/>
      <c r="I35" s="54"/>
    </row>
    <row r="36" customFormat="false" ht="16.5" hidden="false" customHeight="true" outlineLevel="0" collapsed="false">
      <c r="B36" s="89" t="s">
        <v>241</v>
      </c>
      <c r="C36" s="9" t="s">
        <v>242</v>
      </c>
      <c r="D36" s="112" t="n">
        <v>7</v>
      </c>
      <c r="E36" s="113" t="n">
        <v>2</v>
      </c>
      <c r="F36" s="70" t="n">
        <v>2450000</v>
      </c>
      <c r="G36" s="47" t="s">
        <v>243</v>
      </c>
      <c r="H36" s="47"/>
      <c r="I36" s="47"/>
    </row>
    <row r="37" customFormat="false" ht="16.5" hidden="false" customHeight="true" outlineLevel="0" collapsed="false">
      <c r="B37" s="88" t="s">
        <v>244</v>
      </c>
      <c r="C37" s="6" t="s">
        <v>245</v>
      </c>
      <c r="D37" s="112" t="n">
        <v>15</v>
      </c>
      <c r="E37" s="113" t="n">
        <v>4</v>
      </c>
      <c r="F37" s="70" t="n">
        <v>5008000</v>
      </c>
      <c r="G37" s="40" t="s">
        <v>246</v>
      </c>
      <c r="H37" s="40"/>
      <c r="I37" s="40"/>
    </row>
    <row r="38" customFormat="false" ht="16.5" hidden="false" customHeight="true" outlineLevel="0" collapsed="false">
      <c r="B38" s="90" t="s">
        <v>247</v>
      </c>
      <c r="C38" s="12" t="s">
        <v>248</v>
      </c>
      <c r="D38" s="112" t="n">
        <v>30</v>
      </c>
      <c r="E38" s="113" t="n">
        <v>5</v>
      </c>
      <c r="F38" s="70" t="n">
        <v>15000000</v>
      </c>
      <c r="G38" s="50" t="s">
        <v>249</v>
      </c>
      <c r="H38" s="50"/>
      <c r="I38" s="50"/>
    </row>
    <row r="39" customFormat="false" ht="16.5" hidden="false" customHeight="true" outlineLevel="0" collapsed="false">
      <c r="B39" s="91" t="s">
        <v>250</v>
      </c>
      <c r="C39" s="15" t="s">
        <v>251</v>
      </c>
      <c r="D39" s="112" t="n">
        <v>60</v>
      </c>
      <c r="E39" s="113" t="n">
        <v>8</v>
      </c>
      <c r="F39" s="70" t="n">
        <v>25056000</v>
      </c>
      <c r="G39" s="114" t="s">
        <v>252</v>
      </c>
      <c r="H39" s="114"/>
      <c r="I39" s="114"/>
    </row>
    <row r="40" customFormat="false" ht="16.5" hidden="false" customHeight="true" outlineLevel="0" collapsed="false">
      <c r="B40" s="92" t="s">
        <v>253</v>
      </c>
      <c r="C40" s="18" t="s">
        <v>254</v>
      </c>
      <c r="D40" s="112" t="n">
        <v>100</v>
      </c>
      <c r="E40" s="113" t="n">
        <v>10</v>
      </c>
      <c r="F40" s="70" t="n">
        <v>50000000</v>
      </c>
      <c r="G40" s="115" t="s">
        <v>255</v>
      </c>
      <c r="H40" s="115"/>
      <c r="I40" s="115"/>
    </row>
    <row r="41" customFormat="false" ht="16.5" hidden="false" customHeight="true" outlineLevel="0" collapsed="false">
      <c r="B41" s="116" t="s">
        <v>256</v>
      </c>
      <c r="C41" s="117" t="s">
        <v>257</v>
      </c>
      <c r="D41" s="112" t="n">
        <v>200</v>
      </c>
      <c r="E41" s="113" t="n">
        <v>15</v>
      </c>
      <c r="F41" s="70" t="n">
        <v>98313000</v>
      </c>
      <c r="G41" s="28" t="s">
        <v>258</v>
      </c>
      <c r="H41" s="28"/>
      <c r="I41" s="28"/>
    </row>
    <row r="44" customFormat="false" ht="39.75" hidden="false" customHeight="true" outlineLevel="0" collapsed="false">
      <c r="B44" s="118" t="s">
        <v>259</v>
      </c>
      <c r="C44" s="118"/>
      <c r="D44" s="118"/>
      <c r="E44" s="118"/>
      <c r="F44" s="118"/>
      <c r="G44" s="118"/>
      <c r="H44" s="118"/>
      <c r="I44" s="118"/>
      <c r="J44" s="118"/>
    </row>
  </sheetData>
  <mergeCells count="15">
    <mergeCell ref="B1:J1"/>
    <mergeCell ref="B2:J2"/>
    <mergeCell ref="B4:I4"/>
    <mergeCell ref="B9:I9"/>
    <mergeCell ref="B22:I22"/>
    <mergeCell ref="B33:I33"/>
    <mergeCell ref="G34:I34"/>
    <mergeCell ref="G35:I35"/>
    <mergeCell ref="G36:I36"/>
    <mergeCell ref="G37:I37"/>
    <mergeCell ref="G38:I38"/>
    <mergeCell ref="G39:I39"/>
    <mergeCell ref="G40:I40"/>
    <mergeCell ref="G41:I41"/>
    <mergeCell ref="B44:J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5" min="4" style="1" width="18"/>
    <col collapsed="false" customWidth="true" hidden="false" outlineLevel="0" max="7" min="6" style="1" width="16"/>
    <col collapsed="false" customWidth="true" hidden="false" outlineLevel="0" max="9" min="8" style="1" width="18"/>
    <col collapsed="false" customWidth="true" hidden="false" outlineLevel="0" max="10" min="10" style="1" width="14"/>
    <col collapsed="false" customWidth="true" hidden="false" outlineLevel="0" max="11" min="11" style="1" width="18"/>
  </cols>
  <sheetData>
    <row r="1" customFormat="false" ht="43.5" hidden="false" customHeight="true" outlineLevel="0" collapsed="false">
      <c r="B1" s="119" t="s">
        <v>260</v>
      </c>
      <c r="C1" s="119"/>
      <c r="D1" s="119"/>
      <c r="E1" s="119"/>
      <c r="F1" s="119"/>
      <c r="G1" s="119"/>
      <c r="H1" s="119"/>
      <c r="I1" s="119"/>
      <c r="J1" s="119"/>
      <c r="K1" s="119"/>
    </row>
    <row r="2" customFormat="false" ht="16.5" hidden="false" customHeight="true" outlineLevel="0" collapsed="false">
      <c r="B2" s="31" t="s">
        <v>261</v>
      </c>
      <c r="C2" s="31"/>
      <c r="D2" s="31"/>
      <c r="E2" s="31"/>
      <c r="F2" s="31"/>
      <c r="G2" s="31"/>
      <c r="H2" s="31"/>
      <c r="I2" s="31"/>
      <c r="J2" s="31"/>
      <c r="K2" s="31"/>
    </row>
    <row r="4" customFormat="false" ht="18.75" hidden="false" customHeight="true" outlineLevel="0" collapsed="false">
      <c r="B4" s="26" t="s">
        <v>262</v>
      </c>
      <c r="C4" s="26"/>
      <c r="D4" s="26"/>
      <c r="E4" s="26"/>
      <c r="F4" s="26"/>
      <c r="G4" s="26"/>
      <c r="H4" s="26"/>
      <c r="I4" s="26"/>
      <c r="J4" s="26"/>
      <c r="K4" s="26"/>
    </row>
    <row r="5" customFormat="false" ht="15" hidden="false" customHeight="true" outlineLevel="0" collapsed="false">
      <c r="B5" s="32" t="s">
        <v>263</v>
      </c>
      <c r="C5" s="35" t="n">
        <v>0.07</v>
      </c>
      <c r="E5" s="32" t="s">
        <v>264</v>
      </c>
      <c r="F5" s="35" t="n">
        <v>0.05</v>
      </c>
    </row>
    <row r="6" customFormat="false" ht="15" hidden="false" customHeight="true" outlineLevel="0" collapsed="false">
      <c r="B6" s="32" t="s">
        <v>265</v>
      </c>
      <c r="C6" s="35" t="n">
        <v>0.045</v>
      </c>
      <c r="E6" s="32" t="s">
        <v>266</v>
      </c>
      <c r="F6" s="35" t="n">
        <v>0.2</v>
      </c>
    </row>
    <row r="7" customFormat="false" ht="15" hidden="false" customHeight="true" outlineLevel="0" collapsed="false">
      <c r="B7" s="34" t="s">
        <v>267</v>
      </c>
      <c r="C7" s="33" t="n">
        <v>9900</v>
      </c>
      <c r="E7" s="34" t="s">
        <v>268</v>
      </c>
      <c r="F7" s="33" t="n">
        <v>33000</v>
      </c>
    </row>
    <row r="8" customFormat="false" ht="15" hidden="false" customHeight="true" outlineLevel="0" collapsed="false">
      <c r="B8" s="32" t="s">
        <v>269</v>
      </c>
      <c r="C8" s="35" t="n">
        <v>0.82</v>
      </c>
      <c r="E8" s="32" t="s">
        <v>270</v>
      </c>
      <c r="F8" s="35" t="n">
        <v>0.08</v>
      </c>
    </row>
    <row r="10" customFormat="false" ht="15" hidden="false" customHeight="true" outlineLevel="0" collapsed="false">
      <c r="B10" s="5" t="s">
        <v>3</v>
      </c>
      <c r="C10" s="5" t="s">
        <v>4</v>
      </c>
      <c r="D10" s="5" t="s">
        <v>271</v>
      </c>
      <c r="E10" s="5" t="s">
        <v>272</v>
      </c>
      <c r="F10" s="5" t="s">
        <v>273</v>
      </c>
      <c r="G10" s="5" t="s">
        <v>274</v>
      </c>
      <c r="H10" s="5" t="s">
        <v>275</v>
      </c>
      <c r="I10" s="5" t="s">
        <v>5</v>
      </c>
      <c r="J10" s="5" t="s">
        <v>6</v>
      </c>
      <c r="K10" s="5" t="s">
        <v>10</v>
      </c>
    </row>
    <row r="11" customFormat="false" ht="16.5" hidden="false" customHeight="true" outlineLevel="0" collapsed="false">
      <c r="B11" s="88" t="s">
        <v>11</v>
      </c>
      <c r="C11" s="7" t="s">
        <v>12</v>
      </c>
      <c r="D11" s="70" t="n">
        <v>15000000</v>
      </c>
      <c r="E11" s="23" t="n">
        <f aca="false">D11*C5</f>
        <v>1050000</v>
      </c>
      <c r="F11" s="70" t="n">
        <v>240000</v>
      </c>
      <c r="G11" s="23" t="n">
        <f aca="false">IF(D11&gt;=200000000000,C7,IF(D11&gt;=50000000,F7,C7))</f>
        <v>9900</v>
      </c>
      <c r="H11" s="70" t="n">
        <v>29700</v>
      </c>
      <c r="I11" s="71" t="n">
        <f aca="false">E11+F11+G11+H11</f>
        <v>1329600</v>
      </c>
      <c r="J11" s="23" t="n">
        <f aca="false">I11*12</f>
        <v>15955200</v>
      </c>
      <c r="K11" s="79" t="s">
        <v>16</v>
      </c>
    </row>
    <row r="12" customFormat="false" ht="16.5" hidden="false" customHeight="true" outlineLevel="0" collapsed="false">
      <c r="B12" s="89" t="s">
        <v>17</v>
      </c>
      <c r="C12" s="10" t="s">
        <v>18</v>
      </c>
      <c r="D12" s="70" t="n">
        <v>50000000</v>
      </c>
      <c r="E12" s="24" t="n">
        <f aca="false">D12*C5</f>
        <v>3500000</v>
      </c>
      <c r="F12" s="70" t="n">
        <v>330000</v>
      </c>
      <c r="G12" s="24" t="n">
        <f aca="false">IF(D12&gt;=200000000000,C7,IF(D12&gt;=50000000,F7,C7))</f>
        <v>33000</v>
      </c>
      <c r="H12" s="70" t="n">
        <v>29700</v>
      </c>
      <c r="I12" s="73" t="n">
        <f aca="false">E12+F12+G12+H12</f>
        <v>3892700</v>
      </c>
      <c r="J12" s="24" t="n">
        <f aca="false">I12*12</f>
        <v>46712400</v>
      </c>
      <c r="K12" s="74" t="s">
        <v>21</v>
      </c>
    </row>
    <row r="13" customFormat="false" ht="16.5" hidden="false" customHeight="true" outlineLevel="0" collapsed="false">
      <c r="B13" s="90" t="s">
        <v>22</v>
      </c>
      <c r="C13" s="13" t="s">
        <v>23</v>
      </c>
      <c r="D13" s="70" t="n">
        <v>200000000</v>
      </c>
      <c r="E13" s="49" t="n">
        <f aca="false">D13*C5</f>
        <v>14000000</v>
      </c>
      <c r="F13" s="70" t="n">
        <v>875000</v>
      </c>
      <c r="G13" s="49" t="n">
        <f aca="false">IF(D13&gt;=200000000000,C7,IF(D13&gt;=50000000,F7,C7))</f>
        <v>33000</v>
      </c>
      <c r="H13" s="70" t="n">
        <v>99000</v>
      </c>
      <c r="I13" s="77" t="n">
        <f aca="false">E13+F13+G13+H13</f>
        <v>15007000</v>
      </c>
      <c r="J13" s="49" t="n">
        <f aca="false">I13*12</f>
        <v>180084000</v>
      </c>
      <c r="K13" s="78" t="s">
        <v>276</v>
      </c>
    </row>
    <row r="14" customFormat="false" ht="16.5" hidden="false" customHeight="true" outlineLevel="0" collapsed="false">
      <c r="B14" s="91" t="s">
        <v>28</v>
      </c>
      <c r="C14" s="16" t="s">
        <v>29</v>
      </c>
      <c r="D14" s="70" t="n">
        <v>500000000</v>
      </c>
      <c r="E14" s="61" t="n">
        <f aca="false">D14*C5</f>
        <v>35000000</v>
      </c>
      <c r="F14" s="70" t="n">
        <v>2273000</v>
      </c>
      <c r="G14" s="61" t="n">
        <f aca="false">IF(D14&gt;=200000000000,C7,IF(D14&gt;=50000000,F7,C7))</f>
        <v>33000</v>
      </c>
      <c r="H14" s="70" t="n">
        <v>231000</v>
      </c>
      <c r="I14" s="81" t="n">
        <f aca="false">E14+F14+G14+H14</f>
        <v>37537000</v>
      </c>
      <c r="J14" s="61" t="n">
        <f aca="false">I14*12</f>
        <v>450444000</v>
      </c>
      <c r="K14" s="82" t="s">
        <v>32</v>
      </c>
    </row>
    <row r="15" customFormat="false" ht="16.5" hidden="false" customHeight="true" outlineLevel="0" collapsed="false">
      <c r="B15" s="92" t="s">
        <v>33</v>
      </c>
      <c r="C15" s="18" t="s">
        <v>34</v>
      </c>
      <c r="D15" s="70" t="n">
        <v>2000000000</v>
      </c>
      <c r="E15" s="25" t="n">
        <f aca="false">D15*C5</f>
        <v>140000000</v>
      </c>
      <c r="F15" s="70" t="n">
        <v>7280000</v>
      </c>
      <c r="G15" s="25" t="n">
        <f aca="false">IF(D15&gt;=200000000000,C7,IF(D15&gt;=50000000,F7,C7))</f>
        <v>33000</v>
      </c>
      <c r="H15" s="70" t="n">
        <v>990000</v>
      </c>
      <c r="I15" s="93" t="n">
        <f aca="false">E15+F15+G15+H15</f>
        <v>148303000</v>
      </c>
      <c r="J15" s="93" t="n">
        <f aca="false">I15*12</f>
        <v>1779636000</v>
      </c>
      <c r="K15" s="101" t="s">
        <v>277</v>
      </c>
    </row>
  </sheetData>
  <mergeCells count="3">
    <mergeCell ref="B1:K1"/>
    <mergeCell ref="B2:K2"/>
    <mergeCell ref="B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6" min="3" style="1" width="14"/>
    <col collapsed="false" customWidth="true" hidden="false" outlineLevel="0" max="9" min="7" style="1" width="16"/>
  </cols>
  <sheetData>
    <row r="1" customFormat="false" ht="43.5" hidden="false" customHeight="true" outlineLevel="0" collapsed="false">
      <c r="B1" s="119" t="s">
        <v>278</v>
      </c>
      <c r="C1" s="119"/>
      <c r="D1" s="119"/>
      <c r="E1" s="119"/>
      <c r="F1" s="119"/>
      <c r="G1" s="119"/>
      <c r="H1" s="119"/>
      <c r="I1" s="119"/>
    </row>
    <row r="3" customFormat="false" ht="18.75" hidden="false" customHeight="true" outlineLevel="0" collapsed="false">
      <c r="B3" s="120" t="s">
        <v>279</v>
      </c>
      <c r="C3" s="120"/>
      <c r="D3" s="120"/>
      <c r="E3" s="120"/>
      <c r="F3" s="120"/>
      <c r="G3" s="120"/>
      <c r="H3" s="120"/>
      <c r="I3" s="120"/>
    </row>
    <row r="4" customFormat="false" ht="15" hidden="false" customHeight="true" outlineLevel="0" collapsed="false">
      <c r="B4" s="37" t="s">
        <v>280</v>
      </c>
      <c r="C4" s="37" t="s">
        <v>281</v>
      </c>
      <c r="D4" s="37" t="s">
        <v>282</v>
      </c>
      <c r="E4" s="37" t="s">
        <v>283</v>
      </c>
      <c r="F4" s="37" t="s">
        <v>284</v>
      </c>
      <c r="G4" s="37" t="s">
        <v>285</v>
      </c>
      <c r="H4" s="37" t="s">
        <v>286</v>
      </c>
      <c r="I4" s="37" t="s">
        <v>287</v>
      </c>
    </row>
    <row r="5" customFormat="false" ht="16.5" hidden="false" customHeight="true" outlineLevel="0" collapsed="false">
      <c r="B5" s="39" t="s">
        <v>118</v>
      </c>
      <c r="C5" s="70" t="n">
        <v>400000</v>
      </c>
      <c r="D5" s="35" t="n">
        <v>0.08</v>
      </c>
      <c r="E5" s="23" t="n">
        <f aca="false">C5*D5</f>
        <v>32000</v>
      </c>
      <c r="F5" s="23" t="n">
        <f aca="false">C5*0.02</f>
        <v>8000</v>
      </c>
      <c r="G5" s="77" t="n">
        <f aca="false">E5+F5</f>
        <v>40000</v>
      </c>
      <c r="H5" s="24" t="n">
        <f aca="false">G5*10</f>
        <v>400000</v>
      </c>
      <c r="I5" s="105" t="n">
        <f aca="false">G5*20</f>
        <v>800000</v>
      </c>
    </row>
    <row r="6" customFormat="false" ht="16.5" hidden="false" customHeight="true" outlineLevel="0" collapsed="false">
      <c r="B6" s="39" t="s">
        <v>120</v>
      </c>
      <c r="C6" s="70" t="n">
        <v>480000</v>
      </c>
      <c r="D6" s="35" t="n">
        <v>0.08</v>
      </c>
      <c r="E6" s="23" t="n">
        <f aca="false">C6*D6</f>
        <v>38400</v>
      </c>
      <c r="F6" s="23" t="n">
        <f aca="false">C6*0.02</f>
        <v>9600</v>
      </c>
      <c r="G6" s="77" t="n">
        <f aca="false">E6+F6</f>
        <v>48000</v>
      </c>
      <c r="H6" s="24" t="n">
        <f aca="false">G6*10</f>
        <v>480000</v>
      </c>
      <c r="I6" s="105" t="n">
        <f aca="false">G6*20</f>
        <v>960000</v>
      </c>
    </row>
    <row r="7" customFormat="false" ht="16.5" hidden="false" customHeight="true" outlineLevel="0" collapsed="false">
      <c r="B7" s="39" t="s">
        <v>122</v>
      </c>
      <c r="C7" s="70" t="n">
        <v>800000</v>
      </c>
      <c r="D7" s="35" t="n">
        <v>0.08</v>
      </c>
      <c r="E7" s="23" t="n">
        <f aca="false">C7*D7</f>
        <v>64000</v>
      </c>
      <c r="F7" s="23" t="n">
        <f aca="false">C7*0.02</f>
        <v>16000</v>
      </c>
      <c r="G7" s="77" t="n">
        <f aca="false">E7+F7</f>
        <v>80000</v>
      </c>
      <c r="H7" s="24" t="n">
        <f aca="false">G7*10</f>
        <v>800000</v>
      </c>
      <c r="I7" s="105" t="n">
        <f aca="false">G7*20</f>
        <v>1600000</v>
      </c>
    </row>
    <row r="8" customFormat="false" ht="16.5" hidden="false" customHeight="true" outlineLevel="0" collapsed="false">
      <c r="B8" s="39" t="s">
        <v>124</v>
      </c>
      <c r="C8" s="70" t="n">
        <v>960000</v>
      </c>
      <c r="D8" s="35" t="n">
        <v>0.08</v>
      </c>
      <c r="E8" s="23" t="n">
        <f aca="false">C8*D8</f>
        <v>76800</v>
      </c>
      <c r="F8" s="23" t="n">
        <f aca="false">C8*0.02</f>
        <v>19200</v>
      </c>
      <c r="G8" s="77" t="n">
        <f aca="false">E8+F8</f>
        <v>96000</v>
      </c>
      <c r="H8" s="24" t="n">
        <f aca="false">G8*10</f>
        <v>960000</v>
      </c>
      <c r="I8" s="105" t="n">
        <f aca="false">G8*20</f>
        <v>1920000</v>
      </c>
    </row>
    <row r="9" customFormat="false" ht="16.5" hidden="false" customHeight="true" outlineLevel="0" collapsed="false">
      <c r="B9" s="39" t="s">
        <v>288</v>
      </c>
      <c r="C9" s="70" t="n">
        <v>1400000</v>
      </c>
      <c r="D9" s="35" t="n">
        <v>0.1</v>
      </c>
      <c r="E9" s="23" t="n">
        <f aca="false">C9*D9</f>
        <v>140000</v>
      </c>
      <c r="F9" s="23" t="n">
        <f aca="false">C9*0.02</f>
        <v>28000</v>
      </c>
      <c r="G9" s="77" t="n">
        <f aca="false">E9+F9</f>
        <v>168000</v>
      </c>
      <c r="H9" s="24" t="n">
        <f aca="false">G9*10</f>
        <v>1680000</v>
      </c>
      <c r="I9" s="105" t="n">
        <f aca="false">G9*20</f>
        <v>3360000</v>
      </c>
    </row>
    <row r="12" customFormat="false" ht="18.75" hidden="false" customHeight="true" outlineLevel="0" collapsed="false">
      <c r="B12" s="120" t="s">
        <v>289</v>
      </c>
      <c r="C12" s="120"/>
      <c r="D12" s="120"/>
      <c r="E12" s="120"/>
      <c r="F12" s="120"/>
      <c r="G12" s="120"/>
      <c r="H12" s="120"/>
      <c r="I12" s="120"/>
    </row>
    <row r="13" customFormat="false" ht="15" hidden="false" customHeight="true" outlineLevel="0" collapsed="false">
      <c r="B13" s="37" t="s">
        <v>290</v>
      </c>
      <c r="C13" s="37" t="s">
        <v>291</v>
      </c>
      <c r="D13" s="37" t="s">
        <v>292</v>
      </c>
      <c r="E13" s="37" t="s">
        <v>293</v>
      </c>
      <c r="F13" s="37" t="s">
        <v>294</v>
      </c>
      <c r="G13" s="37" t="s">
        <v>295</v>
      </c>
      <c r="H13" s="37" t="s">
        <v>296</v>
      </c>
      <c r="I13" s="37" t="s">
        <v>297</v>
      </c>
    </row>
    <row r="14" customFormat="false" ht="16.5" hidden="false" customHeight="true" outlineLevel="0" collapsed="false">
      <c r="B14" s="39" t="s">
        <v>145</v>
      </c>
      <c r="C14" s="79" t="s">
        <v>298</v>
      </c>
      <c r="D14" s="35" t="n">
        <v>0.08</v>
      </c>
      <c r="E14" s="35" t="n">
        <v>0.15</v>
      </c>
      <c r="F14" s="70" t="n">
        <v>150000</v>
      </c>
      <c r="G14" s="23" t="n">
        <f aca="false">F14*D14</f>
        <v>12000</v>
      </c>
      <c r="H14" s="71" t="n">
        <f aca="false">F14*E14</f>
        <v>22500</v>
      </c>
      <c r="I14" s="75" t="n">
        <f aca="false">H14*30</f>
        <v>675000</v>
      </c>
    </row>
    <row r="15" customFormat="false" ht="16.5" hidden="false" customHeight="true" outlineLevel="0" collapsed="false">
      <c r="B15" s="41" t="s">
        <v>145</v>
      </c>
      <c r="C15" s="74" t="s">
        <v>299</v>
      </c>
      <c r="D15" s="35" t="n">
        <v>0.05</v>
      </c>
      <c r="E15" s="35" t="n">
        <v>0.1</v>
      </c>
      <c r="F15" s="70" t="n">
        <v>200000</v>
      </c>
      <c r="G15" s="24" t="n">
        <f aca="false">F15*D15</f>
        <v>10000</v>
      </c>
      <c r="H15" s="73" t="n">
        <f aca="false">F15*E15</f>
        <v>20000</v>
      </c>
      <c r="I15" s="75" t="n">
        <f aca="false">H15*30</f>
        <v>600000</v>
      </c>
    </row>
    <row r="16" customFormat="false" ht="16.5" hidden="false" customHeight="true" outlineLevel="0" collapsed="false">
      <c r="B16" s="39" t="s">
        <v>300</v>
      </c>
      <c r="C16" s="79" t="s">
        <v>301</v>
      </c>
      <c r="D16" s="35" t="n">
        <v>0.04</v>
      </c>
      <c r="E16" s="35" t="n">
        <v>0.08</v>
      </c>
      <c r="F16" s="70" t="n">
        <v>300000</v>
      </c>
      <c r="G16" s="23" t="n">
        <f aca="false">F16*D16</f>
        <v>12000</v>
      </c>
      <c r="H16" s="71" t="n">
        <f aca="false">F16*E16</f>
        <v>24000</v>
      </c>
      <c r="I16" s="75" t="n">
        <f aca="false">H16*30</f>
        <v>720000</v>
      </c>
    </row>
    <row r="17" customFormat="false" ht="16.5" hidden="false" customHeight="true" outlineLevel="0" collapsed="false">
      <c r="B17" s="41" t="s">
        <v>300</v>
      </c>
      <c r="C17" s="74" t="s">
        <v>302</v>
      </c>
      <c r="D17" s="35" t="n">
        <v>0.05</v>
      </c>
      <c r="E17" s="35" t="n">
        <v>0.09</v>
      </c>
      <c r="F17" s="70" t="n">
        <v>500000</v>
      </c>
      <c r="G17" s="24" t="n">
        <f aca="false">F17*D17</f>
        <v>25000</v>
      </c>
      <c r="H17" s="73" t="n">
        <f aca="false">F17*E17</f>
        <v>45000</v>
      </c>
      <c r="I17" s="75" t="n">
        <f aca="false">H17*30</f>
        <v>1350000</v>
      </c>
    </row>
    <row r="18" customFormat="false" ht="16.5" hidden="false" customHeight="true" outlineLevel="0" collapsed="false">
      <c r="B18" s="107" t="s">
        <v>303</v>
      </c>
      <c r="C18" s="79" t="s">
        <v>298</v>
      </c>
      <c r="D18" s="35" t="n">
        <v>0.08</v>
      </c>
      <c r="E18" s="35" t="n">
        <v>0.12</v>
      </c>
      <c r="F18" s="70" t="n">
        <v>200000</v>
      </c>
      <c r="G18" s="23" t="n">
        <f aca="false">F18*D18</f>
        <v>16000</v>
      </c>
      <c r="H18" s="71" t="n">
        <f aca="false">F18*E18</f>
        <v>24000</v>
      </c>
      <c r="I18" s="75" t="n">
        <f aca="false">H18*30</f>
        <v>720000</v>
      </c>
    </row>
    <row r="19" customFormat="false" ht="32.25" hidden="false" customHeight="true" outlineLevel="0" collapsed="false">
      <c r="B19" s="80" t="s">
        <v>303</v>
      </c>
      <c r="C19" s="74" t="s">
        <v>304</v>
      </c>
      <c r="D19" s="35" t="n">
        <v>0.1</v>
      </c>
      <c r="E19" s="35" t="n">
        <v>0.15</v>
      </c>
      <c r="F19" s="70" t="n">
        <v>350000</v>
      </c>
      <c r="G19" s="24" t="n">
        <f aca="false">F19*D19</f>
        <v>35000</v>
      </c>
      <c r="H19" s="73" t="n">
        <f aca="false">F19*E19</f>
        <v>52500</v>
      </c>
      <c r="I19" s="75" t="n">
        <f aca="false">H19*30</f>
        <v>1575000</v>
      </c>
    </row>
    <row r="20" customFormat="false" ht="16.5" hidden="false" customHeight="true" outlineLevel="0" collapsed="false">
      <c r="B20" s="107" t="s">
        <v>305</v>
      </c>
      <c r="C20" s="79" t="s">
        <v>306</v>
      </c>
      <c r="D20" s="35" t="n">
        <v>0.06</v>
      </c>
      <c r="E20" s="35" t="n">
        <v>0.12</v>
      </c>
      <c r="F20" s="70" t="n">
        <v>180000</v>
      </c>
      <c r="G20" s="23" t="n">
        <f aca="false">F20*D20</f>
        <v>10800</v>
      </c>
      <c r="H20" s="71" t="n">
        <f aca="false">F20*E20</f>
        <v>21600</v>
      </c>
      <c r="I20" s="75" t="n">
        <f aca="false">H20*30</f>
        <v>648000</v>
      </c>
    </row>
    <row r="21" customFormat="false" ht="16.5" hidden="false" customHeight="true" outlineLevel="0" collapsed="false">
      <c r="B21" s="41" t="s">
        <v>307</v>
      </c>
      <c r="C21" s="74" t="s">
        <v>308</v>
      </c>
      <c r="D21" s="35" t="n">
        <v>0.03</v>
      </c>
      <c r="E21" s="35" t="n">
        <v>0.07</v>
      </c>
      <c r="F21" s="70" t="n">
        <v>800000</v>
      </c>
      <c r="G21" s="24" t="n">
        <f aca="false">F21*D21</f>
        <v>24000</v>
      </c>
      <c r="H21" s="73" t="n">
        <f aca="false">F21*E21</f>
        <v>56000</v>
      </c>
      <c r="I21" s="75" t="n">
        <f aca="false">H21*30</f>
        <v>1680000</v>
      </c>
    </row>
    <row r="24" customFormat="false" ht="18.75" hidden="false" customHeight="true" outlineLevel="0" collapsed="false">
      <c r="B24" s="121" t="s">
        <v>309</v>
      </c>
      <c r="C24" s="121"/>
      <c r="D24" s="121"/>
      <c r="E24" s="121"/>
      <c r="F24" s="121"/>
      <c r="G24" s="121"/>
      <c r="H24" s="121"/>
      <c r="I24" s="121"/>
    </row>
    <row r="25" customFormat="false" ht="15" hidden="false" customHeight="true" outlineLevel="0" collapsed="false">
      <c r="B25" s="37" t="s">
        <v>310</v>
      </c>
      <c r="C25" s="37" t="s">
        <v>311</v>
      </c>
      <c r="D25" s="37" t="s">
        <v>312</v>
      </c>
      <c r="E25" s="37" t="s">
        <v>313</v>
      </c>
      <c r="F25" s="37" t="s">
        <v>314</v>
      </c>
      <c r="G25" s="37" t="s">
        <v>315</v>
      </c>
      <c r="H25" s="37" t="s">
        <v>286</v>
      </c>
      <c r="I25" s="37" t="s">
        <v>287</v>
      </c>
    </row>
    <row r="26" customFormat="false" ht="16.5" hidden="false" customHeight="true" outlineLevel="0" collapsed="false">
      <c r="B26" s="70" t="n">
        <v>500000</v>
      </c>
      <c r="C26" s="23" t="n">
        <f aca="false">B26*0.82</f>
        <v>410000</v>
      </c>
      <c r="D26" s="72" t="s">
        <v>316</v>
      </c>
      <c r="E26" s="23" t="n">
        <f aca="false">C26*0.08</f>
        <v>32800</v>
      </c>
      <c r="F26" s="23" t="n">
        <f aca="false">B26*0.02</f>
        <v>10000</v>
      </c>
      <c r="G26" s="77" t="n">
        <f aca="false">E26+F26</f>
        <v>42800</v>
      </c>
      <c r="H26" s="105" t="n">
        <f aca="false">G26*10</f>
        <v>428000</v>
      </c>
      <c r="I26" s="105" t="n">
        <f aca="false">G26*20</f>
        <v>856000</v>
      </c>
    </row>
    <row r="27" customFormat="false" ht="16.5" hidden="false" customHeight="true" outlineLevel="0" collapsed="false">
      <c r="B27" s="70" t="n">
        <v>1000000</v>
      </c>
      <c r="C27" s="24" t="n">
        <f aca="false">B27*0.82</f>
        <v>820000</v>
      </c>
      <c r="D27" s="98" t="s">
        <v>317</v>
      </c>
      <c r="E27" s="24" t="n">
        <f aca="false">C27*0.08</f>
        <v>65600</v>
      </c>
      <c r="F27" s="24" t="n">
        <f aca="false">B27*0.02</f>
        <v>20000</v>
      </c>
      <c r="G27" s="77" t="n">
        <f aca="false">E27+F27</f>
        <v>85600</v>
      </c>
      <c r="H27" s="105" t="n">
        <f aca="false">G27*10</f>
        <v>856000</v>
      </c>
      <c r="I27" s="105" t="n">
        <f aca="false">G27*20</f>
        <v>1712000</v>
      </c>
    </row>
    <row r="28" customFormat="false" ht="16.5" hidden="false" customHeight="true" outlineLevel="0" collapsed="false">
      <c r="B28" s="70" t="n">
        <v>2000000</v>
      </c>
      <c r="C28" s="23" t="n">
        <f aca="false">B28*0.82</f>
        <v>1640000</v>
      </c>
      <c r="D28" s="72" t="s">
        <v>318</v>
      </c>
      <c r="E28" s="23" t="n">
        <f aca="false">C28*0.08</f>
        <v>131200</v>
      </c>
      <c r="F28" s="23" t="n">
        <f aca="false">B28*0.02</f>
        <v>40000</v>
      </c>
      <c r="G28" s="77" t="n">
        <f aca="false">E28+F28</f>
        <v>171200</v>
      </c>
      <c r="H28" s="105" t="n">
        <f aca="false">G28*10</f>
        <v>1712000</v>
      </c>
      <c r="I28" s="105" t="n">
        <f aca="false">G28*20</f>
        <v>3424000</v>
      </c>
    </row>
    <row r="29" customFormat="false" ht="16.5" hidden="false" customHeight="true" outlineLevel="0" collapsed="false">
      <c r="B29" s="70" t="n">
        <v>5000000</v>
      </c>
      <c r="C29" s="24" t="n">
        <f aca="false">B29*0.82</f>
        <v>4100000</v>
      </c>
      <c r="D29" s="98" t="s">
        <v>319</v>
      </c>
      <c r="E29" s="24" t="n">
        <f aca="false">C29*0.08</f>
        <v>328000</v>
      </c>
      <c r="F29" s="24" t="n">
        <f aca="false">B29*0.02</f>
        <v>100000</v>
      </c>
      <c r="G29" s="77" t="n">
        <f aca="false">E29+F29</f>
        <v>428000</v>
      </c>
      <c r="H29" s="105" t="n">
        <f aca="false">G29*10</f>
        <v>4280000</v>
      </c>
      <c r="I29" s="105" t="n">
        <f aca="false">G29*20</f>
        <v>8560000</v>
      </c>
    </row>
    <row r="30" customFormat="false" ht="16.5" hidden="false" customHeight="true" outlineLevel="0" collapsed="false">
      <c r="B30" s="70" t="n">
        <v>10000000</v>
      </c>
      <c r="C30" s="23" t="n">
        <f aca="false">B30*0.82</f>
        <v>8200000</v>
      </c>
      <c r="D30" s="72" t="s">
        <v>320</v>
      </c>
      <c r="E30" s="23" t="n">
        <f aca="false">C30*0.08</f>
        <v>656000</v>
      </c>
      <c r="F30" s="23" t="n">
        <f aca="false">B30*0.02</f>
        <v>200000</v>
      </c>
      <c r="G30" s="77" t="n">
        <f aca="false">E30+F30</f>
        <v>856000</v>
      </c>
      <c r="H30" s="105" t="n">
        <f aca="false">G30*10</f>
        <v>8560000</v>
      </c>
      <c r="I30" s="105" t="n">
        <f aca="false">G30*20</f>
        <v>17120000</v>
      </c>
    </row>
  </sheetData>
  <mergeCells count="4">
    <mergeCell ref="B1:I1"/>
    <mergeCell ref="B3:I3"/>
    <mergeCell ref="B12:I12"/>
    <mergeCell ref="B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7" min="4" style="1" width="14"/>
    <col collapsed="false" customWidth="true" hidden="false" outlineLevel="0" max="8" min="8" style="1" width="16"/>
    <col collapsed="false" customWidth="true" hidden="false" outlineLevel="0" max="9" min="9" style="1" width="20"/>
  </cols>
  <sheetData>
    <row r="1" customFormat="false" ht="43.5" hidden="false" customHeight="true" outlineLevel="0" collapsed="false">
      <c r="B1" s="119" t="s">
        <v>321</v>
      </c>
      <c r="C1" s="119"/>
      <c r="D1" s="119"/>
      <c r="E1" s="119"/>
      <c r="F1" s="119"/>
      <c r="G1" s="119"/>
      <c r="H1" s="119"/>
      <c r="I1" s="119"/>
    </row>
    <row r="3" customFormat="false" ht="18.75" hidden="false" customHeight="true" outlineLevel="0" collapsed="false">
      <c r="B3" s="120" t="s">
        <v>322</v>
      </c>
      <c r="C3" s="120"/>
      <c r="D3" s="120"/>
      <c r="E3" s="120"/>
      <c r="F3" s="120"/>
      <c r="G3" s="120"/>
      <c r="H3" s="120"/>
      <c r="I3" s="120"/>
    </row>
    <row r="4" customFormat="false" ht="15" hidden="false" customHeight="true" outlineLevel="0" collapsed="false">
      <c r="B4" s="37" t="s">
        <v>3</v>
      </c>
      <c r="C4" s="37" t="s">
        <v>323</v>
      </c>
      <c r="D4" s="37" t="s">
        <v>324</v>
      </c>
      <c r="E4" s="37" t="s">
        <v>325</v>
      </c>
      <c r="F4" s="37" t="s">
        <v>274</v>
      </c>
      <c r="G4" s="37" t="s">
        <v>326</v>
      </c>
      <c r="H4" s="37" t="s">
        <v>327</v>
      </c>
      <c r="I4" s="37" t="s">
        <v>10</v>
      </c>
    </row>
    <row r="5" customFormat="false" ht="32.25" hidden="false" customHeight="true" outlineLevel="0" collapsed="false">
      <c r="B5" s="88" t="s">
        <v>11</v>
      </c>
      <c r="C5" s="70" t="n">
        <v>0</v>
      </c>
      <c r="D5" s="35" t="n">
        <v>0</v>
      </c>
      <c r="E5" s="71" t="n">
        <f aca="false">C5*D5</f>
        <v>0</v>
      </c>
      <c r="F5" s="70" t="n">
        <v>9900</v>
      </c>
      <c r="G5" s="23" t="n">
        <f aca="false">E5+F5</f>
        <v>9900</v>
      </c>
      <c r="H5" s="23" t="n">
        <f aca="false">(E5+F5)*12</f>
        <v>118800</v>
      </c>
      <c r="I5" s="79" t="s">
        <v>328</v>
      </c>
    </row>
    <row r="6" customFormat="false" ht="29.25" hidden="false" customHeight="true" outlineLevel="0" collapsed="false">
      <c r="B6" s="89" t="s">
        <v>17</v>
      </c>
      <c r="C6" s="70" t="n">
        <v>35000000</v>
      </c>
      <c r="D6" s="35" t="n">
        <v>0.0045</v>
      </c>
      <c r="E6" s="73" t="n">
        <f aca="false">C6*D6</f>
        <v>157500</v>
      </c>
      <c r="F6" s="70" t="n">
        <v>9900</v>
      </c>
      <c r="G6" s="24" t="n">
        <f aca="false">E6+F6</f>
        <v>167400</v>
      </c>
      <c r="H6" s="24" t="n">
        <f aca="false">(E6+F6)*12</f>
        <v>2008800</v>
      </c>
      <c r="I6" s="98" t="s">
        <v>329</v>
      </c>
    </row>
    <row r="7" customFormat="false" ht="29.25" hidden="false" customHeight="true" outlineLevel="0" collapsed="false">
      <c r="B7" s="90" t="s">
        <v>22</v>
      </c>
      <c r="C7" s="70" t="n">
        <v>150000000</v>
      </c>
      <c r="D7" s="35" t="n">
        <v>0.005</v>
      </c>
      <c r="E7" s="77" t="n">
        <f aca="false">C7*D7</f>
        <v>750000</v>
      </c>
      <c r="F7" s="70" t="n">
        <v>33000</v>
      </c>
      <c r="G7" s="49" t="n">
        <f aca="false">E7+F7</f>
        <v>783000</v>
      </c>
      <c r="H7" s="49" t="n">
        <f aca="false">(E7+F7)*12</f>
        <v>9396000</v>
      </c>
      <c r="I7" s="100" t="s">
        <v>330</v>
      </c>
    </row>
    <row r="8" customFormat="false" ht="29.25" hidden="false" customHeight="true" outlineLevel="0" collapsed="false">
      <c r="B8" s="91" t="s">
        <v>28</v>
      </c>
      <c r="C8" s="70" t="n">
        <v>450000000</v>
      </c>
      <c r="D8" s="35" t="n">
        <v>0.0048</v>
      </c>
      <c r="E8" s="81" t="n">
        <f aca="false">C8*D8</f>
        <v>2160000</v>
      </c>
      <c r="F8" s="70" t="n">
        <v>33000</v>
      </c>
      <c r="G8" s="61" t="n">
        <f aca="false">E8+F8</f>
        <v>2193000</v>
      </c>
      <c r="H8" s="61" t="n">
        <f aca="false">(E8+F8)*12</f>
        <v>26316000</v>
      </c>
      <c r="I8" s="122" t="s">
        <v>331</v>
      </c>
    </row>
    <row r="9" customFormat="false" ht="16.5" hidden="false" customHeight="true" outlineLevel="0" collapsed="false">
      <c r="B9" s="92" t="s">
        <v>33</v>
      </c>
      <c r="C9" s="70" t="n">
        <v>1800000000</v>
      </c>
      <c r="D9" s="35" t="n">
        <v>0.0045</v>
      </c>
      <c r="E9" s="75" t="n">
        <f aca="false">C9*D9</f>
        <v>8100000</v>
      </c>
      <c r="F9" s="70" t="n">
        <v>33000</v>
      </c>
      <c r="G9" s="25" t="n">
        <f aca="false">E9+F9</f>
        <v>8133000</v>
      </c>
      <c r="H9" s="93" t="n">
        <f aca="false">(E9+F9)*12</f>
        <v>97596000</v>
      </c>
      <c r="I9" s="101" t="s">
        <v>332</v>
      </c>
    </row>
    <row r="12" customFormat="false" ht="18.75" hidden="false" customHeight="true" outlineLevel="0" collapsed="false">
      <c r="B12" s="26" t="s">
        <v>333</v>
      </c>
      <c r="C12" s="26"/>
      <c r="D12" s="26"/>
      <c r="E12" s="26"/>
      <c r="F12" s="26"/>
      <c r="G12" s="26"/>
      <c r="H12" s="26"/>
      <c r="I12" s="26"/>
    </row>
    <row r="13" customFormat="false" ht="39.75" hidden="false" customHeight="true" outlineLevel="0" collapsed="false">
      <c r="B13" s="123" t="s">
        <v>334</v>
      </c>
      <c r="C13" s="124" t="s">
        <v>335</v>
      </c>
      <c r="D13" s="124"/>
      <c r="E13" s="124"/>
      <c r="F13" s="124"/>
      <c r="G13" s="124"/>
      <c r="H13" s="124"/>
      <c r="I13" s="124"/>
    </row>
    <row r="14" customFormat="false" ht="39.75" hidden="false" customHeight="true" outlineLevel="0" collapsed="false">
      <c r="B14" s="123" t="s">
        <v>336</v>
      </c>
      <c r="C14" s="124" t="s">
        <v>337</v>
      </c>
      <c r="D14" s="124"/>
      <c r="E14" s="124"/>
      <c r="F14" s="124"/>
      <c r="G14" s="124"/>
      <c r="H14" s="124"/>
      <c r="I14" s="124"/>
    </row>
    <row r="15" customFormat="false" ht="39.75" hidden="false" customHeight="true" outlineLevel="0" collapsed="false">
      <c r="B15" s="123" t="s">
        <v>338</v>
      </c>
      <c r="C15" s="125" t="s">
        <v>339</v>
      </c>
      <c r="D15" s="125"/>
      <c r="E15" s="125"/>
      <c r="F15" s="125"/>
      <c r="G15" s="125"/>
      <c r="H15" s="125"/>
      <c r="I15" s="125"/>
    </row>
    <row r="16" customFormat="false" ht="39.75" hidden="false" customHeight="true" outlineLevel="0" collapsed="false">
      <c r="B16" s="123" t="s">
        <v>340</v>
      </c>
      <c r="C16" s="124" t="s">
        <v>341</v>
      </c>
      <c r="D16" s="124"/>
      <c r="E16" s="124"/>
      <c r="F16" s="124"/>
      <c r="G16" s="124"/>
      <c r="H16" s="124"/>
      <c r="I16" s="124"/>
    </row>
  </sheetData>
  <mergeCells count="7">
    <mergeCell ref="B1:I1"/>
    <mergeCell ref="B3:I3"/>
    <mergeCell ref="B12:I12"/>
    <mergeCell ref="C13:I13"/>
    <mergeCell ref="C14:I14"/>
    <mergeCell ref="C15:I15"/>
    <mergeCell ref="C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4" min="3" style="1" width="18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9" min="8" style="1" width="22"/>
  </cols>
  <sheetData>
    <row r="1" customFormat="false" ht="43.5" hidden="false" customHeight="true" outlineLevel="0" collapsed="false">
      <c r="B1" s="119" t="s">
        <v>342</v>
      </c>
      <c r="C1" s="119"/>
      <c r="D1" s="119"/>
      <c r="E1" s="119"/>
      <c r="F1" s="119"/>
      <c r="G1" s="119"/>
      <c r="H1" s="119"/>
      <c r="I1" s="119"/>
    </row>
    <row r="3" customFormat="false" ht="18.75" hidden="false" customHeight="true" outlineLevel="0" collapsed="false">
      <c r="B3" s="120" t="s">
        <v>343</v>
      </c>
      <c r="C3" s="120"/>
      <c r="D3" s="120"/>
      <c r="E3" s="120"/>
      <c r="F3" s="120"/>
      <c r="G3" s="120"/>
      <c r="H3" s="120"/>
      <c r="I3" s="120"/>
    </row>
    <row r="4" customFormat="false" ht="15" hidden="false" customHeight="true" outlineLevel="0" collapsed="false">
      <c r="B4" s="37" t="s">
        <v>344</v>
      </c>
      <c r="C4" s="37" t="s">
        <v>345</v>
      </c>
      <c r="D4" s="37" t="s">
        <v>346</v>
      </c>
      <c r="E4" s="37" t="s">
        <v>347</v>
      </c>
      <c r="F4" s="37" t="s">
        <v>10</v>
      </c>
    </row>
    <row r="5" customFormat="false" ht="48" hidden="false" customHeight="true" outlineLevel="0" collapsed="false">
      <c r="B5" s="79" t="s">
        <v>348</v>
      </c>
      <c r="C5" s="6" t="s">
        <v>349</v>
      </c>
      <c r="D5" s="6" t="s">
        <v>350</v>
      </c>
      <c r="E5" s="6" t="s">
        <v>351</v>
      </c>
      <c r="F5" s="7" t="s">
        <v>352</v>
      </c>
    </row>
    <row r="6" customFormat="false" ht="32.25" hidden="false" customHeight="true" outlineLevel="0" collapsed="false">
      <c r="B6" s="74" t="s">
        <v>353</v>
      </c>
      <c r="C6" s="9" t="s">
        <v>354</v>
      </c>
      <c r="D6" s="9" t="s">
        <v>355</v>
      </c>
      <c r="E6" s="10" t="s">
        <v>356</v>
      </c>
      <c r="F6" s="10" t="s">
        <v>357</v>
      </c>
    </row>
    <row r="7" customFormat="false" ht="48" hidden="false" customHeight="true" outlineLevel="0" collapsed="false">
      <c r="B7" s="79" t="s">
        <v>358</v>
      </c>
      <c r="C7" s="6" t="s">
        <v>359</v>
      </c>
      <c r="D7" s="6" t="s">
        <v>360</v>
      </c>
      <c r="E7" s="6" t="s">
        <v>361</v>
      </c>
      <c r="F7" s="7" t="s">
        <v>362</v>
      </c>
    </row>
    <row r="8" customFormat="false" ht="32.25" hidden="false" customHeight="true" outlineLevel="0" collapsed="false">
      <c r="B8" s="78" t="s">
        <v>363</v>
      </c>
      <c r="C8" s="13" t="s">
        <v>364</v>
      </c>
      <c r="D8" s="13" t="s">
        <v>365</v>
      </c>
      <c r="E8" s="13" t="s">
        <v>366</v>
      </c>
      <c r="F8" s="13" t="s">
        <v>367</v>
      </c>
    </row>
    <row r="11" customFormat="false" ht="18.75" hidden="false" customHeight="true" outlineLevel="0" collapsed="false">
      <c r="B11" s="120" t="s">
        <v>368</v>
      </c>
      <c r="C11" s="120"/>
      <c r="D11" s="120"/>
      <c r="E11" s="120"/>
      <c r="F11" s="120"/>
      <c r="G11" s="120"/>
      <c r="H11" s="120"/>
      <c r="I11" s="120"/>
    </row>
    <row r="12" customFormat="false" ht="15" hidden="false" customHeight="true" outlineLevel="0" collapsed="false">
      <c r="B12" s="37" t="s">
        <v>369</v>
      </c>
      <c r="C12" s="37" t="s">
        <v>370</v>
      </c>
      <c r="D12" s="37" t="s">
        <v>290</v>
      </c>
      <c r="E12" s="37" t="s">
        <v>371</v>
      </c>
      <c r="F12" s="38" t="s">
        <v>372</v>
      </c>
      <c r="G12" s="37" t="s">
        <v>373</v>
      </c>
      <c r="H12" s="37" t="s">
        <v>374</v>
      </c>
      <c r="I12" s="37" t="s">
        <v>375</v>
      </c>
    </row>
    <row r="13" customFormat="false" ht="16.5" hidden="false" customHeight="true" outlineLevel="0" collapsed="false">
      <c r="B13" s="79" t="s">
        <v>376</v>
      </c>
      <c r="C13" s="79" t="s">
        <v>377</v>
      </c>
      <c r="D13" s="6" t="s">
        <v>378</v>
      </c>
      <c r="E13" s="126" t="s">
        <v>379</v>
      </c>
      <c r="F13" s="6" t="s">
        <v>380</v>
      </c>
      <c r="G13" s="6" t="s">
        <v>381</v>
      </c>
      <c r="H13" s="79" t="s">
        <v>382</v>
      </c>
      <c r="I13" s="72" t="s">
        <v>383</v>
      </c>
    </row>
    <row r="14" customFormat="false" ht="16.5" hidden="false" customHeight="true" outlineLevel="0" collapsed="false">
      <c r="B14" s="74" t="s">
        <v>384</v>
      </c>
      <c r="C14" s="74" t="s">
        <v>385</v>
      </c>
      <c r="D14" s="9" t="s">
        <v>386</v>
      </c>
      <c r="E14" s="127" t="s">
        <v>387</v>
      </c>
      <c r="F14" s="9" t="s">
        <v>388</v>
      </c>
      <c r="G14" s="9" t="s">
        <v>389</v>
      </c>
      <c r="H14" s="74" t="s">
        <v>390</v>
      </c>
      <c r="I14" s="74" t="s">
        <v>391</v>
      </c>
    </row>
    <row r="15" customFormat="false" ht="16.5" hidden="false" customHeight="true" outlineLevel="0" collapsed="false">
      <c r="B15" s="79" t="s">
        <v>392</v>
      </c>
      <c r="C15" s="79" t="s">
        <v>393</v>
      </c>
      <c r="D15" s="6" t="s">
        <v>394</v>
      </c>
      <c r="E15" s="126" t="s">
        <v>395</v>
      </c>
      <c r="F15" s="6" t="s">
        <v>396</v>
      </c>
      <c r="G15" s="6" t="s">
        <v>397</v>
      </c>
      <c r="H15" s="72" t="s">
        <v>398</v>
      </c>
      <c r="I15" s="79" t="s">
        <v>399</v>
      </c>
    </row>
    <row r="16" customFormat="false" ht="16.5" hidden="false" customHeight="true" outlineLevel="0" collapsed="false">
      <c r="B16" s="74" t="s">
        <v>400</v>
      </c>
      <c r="C16" s="74" t="s">
        <v>401</v>
      </c>
      <c r="D16" s="9" t="s">
        <v>402</v>
      </c>
      <c r="E16" s="127" t="s">
        <v>403</v>
      </c>
      <c r="F16" s="9" t="s">
        <v>404</v>
      </c>
      <c r="G16" s="9" t="s">
        <v>389</v>
      </c>
      <c r="H16" s="98" t="s">
        <v>405</v>
      </c>
      <c r="I16" s="74" t="s">
        <v>406</v>
      </c>
    </row>
    <row r="17" customFormat="false" ht="16.5" hidden="false" customHeight="true" outlineLevel="0" collapsed="false">
      <c r="B17" s="79" t="s">
        <v>407</v>
      </c>
      <c r="C17" s="79" t="s">
        <v>408</v>
      </c>
      <c r="D17" s="6" t="s">
        <v>409</v>
      </c>
      <c r="E17" s="126" t="s">
        <v>410</v>
      </c>
      <c r="F17" s="6" t="s">
        <v>411</v>
      </c>
      <c r="G17" s="6" t="s">
        <v>412</v>
      </c>
      <c r="H17" s="79" t="s">
        <v>413</v>
      </c>
      <c r="I17" s="79" t="s">
        <v>414</v>
      </c>
    </row>
    <row r="18" customFormat="false" ht="16.5" hidden="false" customHeight="true" outlineLevel="0" collapsed="false">
      <c r="B18" s="74" t="s">
        <v>415</v>
      </c>
      <c r="C18" s="74" t="s">
        <v>416</v>
      </c>
      <c r="D18" s="9" t="s">
        <v>417</v>
      </c>
      <c r="E18" s="127" t="s">
        <v>418</v>
      </c>
      <c r="F18" s="9" t="s">
        <v>397</v>
      </c>
      <c r="G18" s="9" t="s">
        <v>419</v>
      </c>
      <c r="H18" s="74" t="s">
        <v>420</v>
      </c>
      <c r="I18" s="74" t="s">
        <v>421</v>
      </c>
    </row>
    <row r="21" customFormat="false" ht="18.75" hidden="false" customHeight="true" outlineLevel="0" collapsed="false">
      <c r="B21" s="121" t="s">
        <v>422</v>
      </c>
      <c r="C21" s="121"/>
      <c r="D21" s="121"/>
      <c r="E21" s="121"/>
      <c r="F21" s="121"/>
      <c r="G21" s="121"/>
      <c r="H21" s="121"/>
      <c r="I21" s="121"/>
    </row>
    <row r="22" customFormat="false" ht="15" hidden="false" customHeight="true" outlineLevel="0" collapsed="false">
      <c r="B22" s="37" t="s">
        <v>344</v>
      </c>
      <c r="C22" s="38" t="s">
        <v>423</v>
      </c>
      <c r="D22" s="38" t="s">
        <v>424</v>
      </c>
      <c r="E22" s="38" t="s">
        <v>425</v>
      </c>
      <c r="F22" s="38" t="s">
        <v>426</v>
      </c>
      <c r="G22" s="37" t="s">
        <v>427</v>
      </c>
    </row>
    <row r="23" customFormat="false" ht="32.25" hidden="false" customHeight="true" outlineLevel="0" collapsed="false">
      <c r="B23" s="79" t="s">
        <v>353</v>
      </c>
      <c r="C23" s="6" t="s">
        <v>428</v>
      </c>
      <c r="D23" s="6" t="s">
        <v>429</v>
      </c>
      <c r="E23" s="6" t="s">
        <v>430</v>
      </c>
      <c r="F23" s="6" t="s">
        <v>431</v>
      </c>
      <c r="G23" s="6" t="s">
        <v>432</v>
      </c>
    </row>
    <row r="24" customFormat="false" ht="16.5" hidden="false" customHeight="true" outlineLevel="0" collapsed="false">
      <c r="B24" s="74" t="s">
        <v>433</v>
      </c>
      <c r="C24" s="9" t="s">
        <v>434</v>
      </c>
      <c r="D24" s="9" t="s">
        <v>435</v>
      </c>
      <c r="E24" s="9" t="s">
        <v>436</v>
      </c>
      <c r="F24" s="9" t="s">
        <v>437</v>
      </c>
      <c r="G24" s="9" t="s">
        <v>438</v>
      </c>
    </row>
    <row r="25" customFormat="false" ht="32.25" hidden="false" customHeight="true" outlineLevel="0" collapsed="false">
      <c r="B25" s="79" t="s">
        <v>439</v>
      </c>
      <c r="C25" s="6" t="s">
        <v>440</v>
      </c>
      <c r="D25" s="6" t="s">
        <v>441</v>
      </c>
      <c r="E25" s="6" t="s">
        <v>442</v>
      </c>
      <c r="F25" s="6" t="s">
        <v>443</v>
      </c>
      <c r="G25" s="7" t="s">
        <v>444</v>
      </c>
    </row>
    <row r="26" customFormat="false" ht="16.5" hidden="false" customHeight="true" outlineLevel="0" collapsed="false">
      <c r="B26" s="74" t="s">
        <v>445</v>
      </c>
      <c r="C26" s="9" t="s">
        <v>446</v>
      </c>
      <c r="D26" s="9" t="s">
        <v>447</v>
      </c>
      <c r="E26" s="9" t="s">
        <v>448</v>
      </c>
      <c r="F26" s="9" t="s">
        <v>449</v>
      </c>
      <c r="G26" s="9" t="s">
        <v>450</v>
      </c>
    </row>
    <row r="27" customFormat="false" ht="32.25" hidden="false" customHeight="true" outlineLevel="0" collapsed="false">
      <c r="B27" s="79" t="s">
        <v>451</v>
      </c>
      <c r="C27" s="6" t="s">
        <v>452</v>
      </c>
      <c r="D27" s="6" t="s">
        <v>453</v>
      </c>
      <c r="E27" s="6" t="s">
        <v>454</v>
      </c>
      <c r="F27" s="6" t="s">
        <v>455</v>
      </c>
      <c r="G27" s="6" t="s">
        <v>456</v>
      </c>
    </row>
    <row r="28" customFormat="false" ht="16.5" hidden="false" customHeight="true" outlineLevel="0" collapsed="false">
      <c r="B28" s="41" t="s">
        <v>457</v>
      </c>
      <c r="C28" s="89" t="s">
        <v>458</v>
      </c>
      <c r="D28" s="89" t="s">
        <v>459</v>
      </c>
      <c r="E28" s="89" t="s">
        <v>460</v>
      </c>
      <c r="F28" s="89" t="s">
        <v>461</v>
      </c>
      <c r="G28" s="89" t="s">
        <v>462</v>
      </c>
    </row>
  </sheetData>
  <mergeCells count="4">
    <mergeCell ref="B1:I1"/>
    <mergeCell ref="B3:I3"/>
    <mergeCell ref="B11:I11"/>
    <mergeCell ref="B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5" min="5" style="1" width="22"/>
    <col collapsed="false" customWidth="true" hidden="false" outlineLevel="0" max="6" min="6" style="1" width="20"/>
  </cols>
  <sheetData>
    <row r="1" customFormat="false" ht="43.5" hidden="false" customHeight="true" outlineLevel="0" collapsed="false">
      <c r="B1" s="119" t="s">
        <v>463</v>
      </c>
      <c r="C1" s="119"/>
      <c r="D1" s="119"/>
      <c r="E1" s="119"/>
      <c r="F1" s="119"/>
    </row>
    <row r="2" customFormat="false" ht="16.5" hidden="false" customHeight="true" outlineLevel="0" collapsed="false">
      <c r="B2" s="31" t="s">
        <v>464</v>
      </c>
      <c r="C2" s="31"/>
      <c r="D2" s="31"/>
      <c r="E2" s="31"/>
      <c r="F2" s="31"/>
    </row>
    <row r="4" customFormat="false" ht="18.75" hidden="false" customHeight="true" outlineLevel="0" collapsed="false">
      <c r="B4" s="26" t="s">
        <v>465</v>
      </c>
      <c r="C4" s="26"/>
      <c r="D4" s="26"/>
      <c r="E4" s="26"/>
      <c r="F4" s="26"/>
    </row>
    <row r="5" customFormat="false" ht="15" hidden="false" customHeight="true" outlineLevel="0" collapsed="false">
      <c r="B5" s="37" t="s">
        <v>466</v>
      </c>
      <c r="C5" s="37" t="s">
        <v>467</v>
      </c>
      <c r="D5" s="37" t="s">
        <v>468</v>
      </c>
      <c r="E5" s="37" t="s">
        <v>469</v>
      </c>
      <c r="F5" s="37" t="s">
        <v>470</v>
      </c>
    </row>
    <row r="6" customFormat="false" ht="32.25" hidden="false" customHeight="true" outlineLevel="0" collapsed="false">
      <c r="B6" s="39" t="s">
        <v>137</v>
      </c>
      <c r="C6" s="70" t="n">
        <v>10</v>
      </c>
      <c r="D6" s="7" t="s">
        <v>471</v>
      </c>
      <c r="E6" s="79" t="s">
        <v>472</v>
      </c>
      <c r="F6" s="23" t="n">
        <f aca="false">C6*48000</f>
        <v>480000</v>
      </c>
    </row>
    <row r="7" customFormat="false" ht="32.25" hidden="false" customHeight="true" outlineLevel="0" collapsed="false">
      <c r="B7" s="41" t="s">
        <v>139</v>
      </c>
      <c r="C7" s="70" t="n">
        <v>5</v>
      </c>
      <c r="D7" s="10" t="s">
        <v>471</v>
      </c>
      <c r="E7" s="74" t="s">
        <v>473</v>
      </c>
      <c r="F7" s="24" t="n">
        <f aca="false">C7*96000</f>
        <v>480000</v>
      </c>
    </row>
    <row r="8" customFormat="false" ht="16.5" hidden="false" customHeight="true" outlineLevel="0" collapsed="false">
      <c r="B8" s="39" t="s">
        <v>474</v>
      </c>
      <c r="C8" s="70" t="n">
        <v>3000000</v>
      </c>
      <c r="D8" s="7" t="s">
        <v>475</v>
      </c>
      <c r="E8" s="79" t="s">
        <v>476</v>
      </c>
      <c r="F8" s="23" t="n">
        <f aca="false">C8*0.1</f>
        <v>300000</v>
      </c>
    </row>
    <row r="9" customFormat="false" ht="16.5" hidden="false" customHeight="true" outlineLevel="0" collapsed="false">
      <c r="B9" s="41" t="s">
        <v>477</v>
      </c>
      <c r="C9" s="70" t="n">
        <v>2000000</v>
      </c>
      <c r="D9" s="10" t="s">
        <v>475</v>
      </c>
      <c r="E9" s="74" t="s">
        <v>478</v>
      </c>
      <c r="F9" s="24" t="n">
        <f aca="false">C9*0.06</f>
        <v>120000</v>
      </c>
    </row>
    <row r="10" customFormat="false" ht="16.5" hidden="false" customHeight="true" outlineLevel="0" collapsed="false">
      <c r="B10" s="107" t="s">
        <v>479</v>
      </c>
      <c r="C10" s="70" t="n">
        <v>1000000</v>
      </c>
      <c r="D10" s="7" t="s">
        <v>475</v>
      </c>
      <c r="E10" s="79" t="s">
        <v>476</v>
      </c>
      <c r="F10" s="23" t="n">
        <f aca="false">C10*0.1</f>
        <v>100000</v>
      </c>
    </row>
    <row r="11" customFormat="false" ht="16.5" hidden="false" customHeight="true" outlineLevel="0" collapsed="false">
      <c r="B11" s="80" t="s">
        <v>480</v>
      </c>
      <c r="C11" s="70" t="n">
        <v>1000000</v>
      </c>
      <c r="D11" s="10" t="s">
        <v>475</v>
      </c>
      <c r="E11" s="74" t="s">
        <v>481</v>
      </c>
      <c r="F11" s="24" t="n">
        <f aca="false">C11*0.08</f>
        <v>80000</v>
      </c>
    </row>
    <row r="12" customFormat="false" ht="16.5" hidden="false" customHeight="true" outlineLevel="0" collapsed="false">
      <c r="B12" s="39" t="s">
        <v>482</v>
      </c>
      <c r="C12" s="70" t="n">
        <v>2000000</v>
      </c>
      <c r="D12" s="7" t="s">
        <v>475</v>
      </c>
      <c r="E12" s="79" t="s">
        <v>483</v>
      </c>
      <c r="F12" s="23" t="n">
        <f aca="false">C12*0.05</f>
        <v>100000</v>
      </c>
    </row>
    <row r="13" customFormat="false" ht="29.25" hidden="false" customHeight="true" outlineLevel="0" collapsed="false">
      <c r="B13" s="41" t="s">
        <v>484</v>
      </c>
      <c r="C13" s="70" t="n">
        <v>3</v>
      </c>
      <c r="D13" s="10" t="s">
        <v>471</v>
      </c>
      <c r="E13" s="74" t="s">
        <v>485</v>
      </c>
      <c r="F13" s="24" t="n">
        <f aca="false">C13*1200000*0.82*0.08</f>
        <v>236160</v>
      </c>
    </row>
    <row r="14" customFormat="false" ht="29.25" hidden="false" customHeight="true" outlineLevel="0" collapsed="false">
      <c r="B14" s="39" t="s">
        <v>486</v>
      </c>
      <c r="C14" s="70" t="n">
        <v>5</v>
      </c>
      <c r="D14" s="7" t="s">
        <v>487</v>
      </c>
      <c r="E14" s="79" t="s">
        <v>488</v>
      </c>
      <c r="F14" s="23" t="n">
        <f aca="false">C14*33000*0.3</f>
        <v>49500</v>
      </c>
    </row>
    <row r="16" customFormat="false" ht="30" hidden="false" customHeight="true" outlineLevel="0" collapsed="false">
      <c r="B16" s="128" t="s">
        <v>489</v>
      </c>
      <c r="C16" s="128"/>
      <c r="D16" s="128"/>
      <c r="E16" s="128"/>
      <c r="F16" s="84" t="n">
        <f aca="false">SUM(F6:F14)</f>
        <v>1945660</v>
      </c>
    </row>
    <row r="17" customFormat="false" ht="30" hidden="false" customHeight="true" outlineLevel="0" collapsed="false">
      <c r="B17" s="129" t="s">
        <v>490</v>
      </c>
      <c r="C17" s="129"/>
      <c r="D17" s="129"/>
      <c r="E17" s="129"/>
      <c r="F17" s="130" t="n">
        <f aca="false">F16*12</f>
        <v>23347920</v>
      </c>
    </row>
    <row r="20" customFormat="false" ht="16.5" hidden="false" customHeight="true" outlineLevel="0" collapsed="false">
      <c r="B20" s="131" t="s">
        <v>491</v>
      </c>
      <c r="C20" s="131"/>
      <c r="D20" s="131"/>
      <c r="E20" s="131"/>
      <c r="F20" s="131"/>
    </row>
    <row r="21" customFormat="false" ht="16.5" hidden="false" customHeight="true" outlineLevel="0" collapsed="false">
      <c r="B21" s="132" t="s">
        <v>170</v>
      </c>
      <c r="C21" s="133" t="s">
        <v>492</v>
      </c>
      <c r="D21" s="115" t="s">
        <v>493</v>
      </c>
      <c r="E21" s="115"/>
      <c r="F21" s="115"/>
    </row>
    <row r="22" customFormat="false" ht="16.5" hidden="false" customHeight="true" outlineLevel="0" collapsed="false">
      <c r="B22" s="134" t="s">
        <v>168</v>
      </c>
      <c r="C22" s="135" t="s">
        <v>494</v>
      </c>
      <c r="D22" s="64" t="s">
        <v>495</v>
      </c>
      <c r="E22" s="64"/>
      <c r="F22" s="64"/>
    </row>
    <row r="23" customFormat="false" ht="16.5" hidden="false" customHeight="true" outlineLevel="0" collapsed="false">
      <c r="B23" s="136" t="s">
        <v>166</v>
      </c>
      <c r="C23" s="127" t="s">
        <v>496</v>
      </c>
      <c r="D23" s="47" t="s">
        <v>497</v>
      </c>
      <c r="E23" s="47"/>
      <c r="F23" s="47"/>
    </row>
    <row r="24" customFormat="false" ht="16.5" hidden="false" customHeight="true" outlineLevel="0" collapsed="false">
      <c r="B24" s="137" t="s">
        <v>164</v>
      </c>
      <c r="C24" s="126" t="s">
        <v>498</v>
      </c>
      <c r="D24" s="40" t="s">
        <v>499</v>
      </c>
      <c r="E24" s="40"/>
      <c r="F24" s="40"/>
    </row>
    <row r="25" customFormat="false" ht="16.5" hidden="false" customHeight="true" outlineLevel="0" collapsed="false">
      <c r="B25" s="138" t="s">
        <v>162</v>
      </c>
      <c r="C25" s="139" t="s">
        <v>500</v>
      </c>
      <c r="D25" s="50" t="s">
        <v>501</v>
      </c>
      <c r="E25" s="50"/>
      <c r="F25" s="50"/>
    </row>
    <row r="27" customFormat="false" ht="30" hidden="false" customHeight="true" outlineLevel="0" collapsed="false">
      <c r="B27" s="140" t="s">
        <v>502</v>
      </c>
      <c r="C27" s="140"/>
      <c r="D27" s="140"/>
      <c r="E27" s="140"/>
      <c r="F27" s="141" t="str">
        <f aca="false">IF(F16&gt;=10000000,"💎 다이아몬드",IF(F16&gt;=5000000,"🥇 골드",IF(F16&gt;=2000000,"🥈 실버",IF(F16&gt;=500000,"🥉 브론즈","🌱 스타터"))))</f>
        <v>🥉 브론즈</v>
      </c>
    </row>
  </sheetData>
  <mergeCells count="12">
    <mergeCell ref="B1:F1"/>
    <mergeCell ref="B2:F2"/>
    <mergeCell ref="B4:F4"/>
    <mergeCell ref="B16:E16"/>
    <mergeCell ref="B17:E17"/>
    <mergeCell ref="B20:F20"/>
    <mergeCell ref="D21:F21"/>
    <mergeCell ref="D22:F22"/>
    <mergeCell ref="D23:F23"/>
    <mergeCell ref="D24:F24"/>
    <mergeCell ref="D25:F25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2026-03-27T16:39:09Z</dcterms:created>
  <dc:creator>openpyxl</dc:creator>
  <dc:description/>
  <dc:language>en-US</dc:language>
  <cp:lastModifiedBy/>
  <dcterms:modified xsi:type="dcterms:W3CDTF">2026-03-27T16:40:14Z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
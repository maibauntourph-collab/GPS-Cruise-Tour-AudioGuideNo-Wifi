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대시보드" sheetId="1" state="visible" r:id="rId3"/>
    <sheet name="🚢 크루즈 수익" sheetId="2" state="visible" r:id="rId4"/>
    <sheet name="🌐 플랫폼 수수료" sheetId="3" state="visible" r:id="rId5"/>
    <sheet name="💰 상조전환 분석" sheetId="4" state="visible" r:id="rId6"/>
    <sheet name="🎯 나의 수익 시뮬레이터" sheetId="5" state="visible" r:id="rId7"/>
    <sheet name="📣 마케팅 &amp; 시장전망" sheetId="6" state="visible" r:id="rId8"/>
    <sheet name="📌원본_BusinessModel" sheetId="7" state="visible" r:id="rId9"/>
    <sheet name="📌원본_ProfitSimulation" sheetId="8" state="visible" r:id="rId10"/>
    <sheet name="📌원본_SubBenefi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<sst xmlns="http://schemas.openxmlformats.org/spreadsheetml/2006/main" count="515" uniqueCount="464">
  <si>
    <r>
      <rPr>
        <b val="true"/>
        <sz val="18"/>
        <color rgb="FFFFFFFF"/>
        <rFont val="Noto Sans CJK SC"/>
        <family val="2"/>
      </rPr>
      <t xml:space="preserve">🚢  크루즈 </t>
    </r>
    <r>
      <rPr>
        <b val="true"/>
        <sz val="18"/>
        <color rgb="FFFFFFFF"/>
        <rFont val="Arial"/>
        <family val="0"/>
        <charset val="1"/>
      </rPr>
      <t xml:space="preserve">× </t>
    </r>
    <r>
      <rPr>
        <b val="true"/>
        <sz val="18"/>
        <color rgb="FFFFFFFF"/>
        <rFont val="Noto Sans CJK SC"/>
        <family val="2"/>
      </rPr>
      <t xml:space="preserve">여행제휴 </t>
    </r>
    <r>
      <rPr>
        <b val="true"/>
        <sz val="18"/>
        <color rgb="FFFFFFFF"/>
        <rFont val="Arial"/>
        <family val="0"/>
        <charset val="1"/>
      </rPr>
      <t xml:space="preserve">× </t>
    </r>
    <r>
      <rPr>
        <b val="true"/>
        <sz val="18"/>
        <color rgb="FFFFFFFF"/>
        <rFont val="Noto Sans CJK SC"/>
        <family val="2"/>
      </rPr>
      <t xml:space="preserve">상조전환  영업 수익 통합 시뮬레이터</t>
    </r>
  </si>
  <si>
    <r>
      <rPr>
        <sz val="11"/>
        <color rgb="FFC9A84C"/>
        <rFont val="Noto Sans CJK SC"/>
        <family val="2"/>
      </rPr>
      <t xml:space="preserve">마이리얼트립 </t>
    </r>
    <r>
      <rPr>
        <sz val="11"/>
        <color rgb="FFC9A84C"/>
        <rFont val="Arial"/>
        <family val="0"/>
        <charset val="1"/>
      </rPr>
      <t xml:space="preserve">· </t>
    </r>
    <r>
      <rPr>
        <sz val="11"/>
        <color rgb="FFC9A84C"/>
        <rFont val="Noto Sans CJK SC"/>
        <family val="2"/>
      </rPr>
      <t xml:space="preserve">아고다 </t>
    </r>
    <r>
      <rPr>
        <sz val="11"/>
        <color rgb="FFC9A84C"/>
        <rFont val="Arial"/>
        <family val="0"/>
        <charset val="1"/>
      </rPr>
      <t xml:space="preserve">· Viator · Klook · </t>
    </r>
    <r>
      <rPr>
        <sz val="11"/>
        <color rgb="FFC9A84C"/>
        <rFont val="Noto Sans CJK SC"/>
        <family val="2"/>
      </rPr>
      <t xml:space="preserve">쿠팡여행 </t>
    </r>
    <r>
      <rPr>
        <sz val="11"/>
        <color rgb="FFC9A84C"/>
        <rFont val="Arial"/>
        <family val="0"/>
        <charset val="1"/>
      </rPr>
      <t xml:space="preserve">· </t>
    </r>
    <r>
      <rPr>
        <sz val="11"/>
        <color rgb="FFC9A84C"/>
        <rFont val="Noto Sans CJK SC"/>
        <family val="2"/>
      </rPr>
      <t xml:space="preserve">상조전환  </t>
    </r>
    <r>
      <rPr>
        <sz val="11"/>
        <color rgb="FFC9A84C"/>
        <rFont val="Arial"/>
        <family val="0"/>
        <charset val="1"/>
      </rPr>
      <t xml:space="preserve">|  </t>
    </r>
    <r>
      <rPr>
        <sz val="11"/>
        <color rgb="FFC9A84C"/>
        <rFont val="Noto Sans CJK SC"/>
        <family val="2"/>
      </rPr>
      <t xml:space="preserve">영업사원 실질 수입 분석</t>
    </r>
  </si>
  <si>
    <t xml:space="preserve">📋 수익원 요약 비교표</t>
  </si>
  <si>
    <t xml:space="preserve">수익원</t>
  </si>
  <si>
    <t xml:space="preserve">플랫폼</t>
  </si>
  <si>
    <t xml:space="preserve">수수료율</t>
  </si>
  <si>
    <t xml:space="preserve">건당평균수익</t>
  </si>
  <si>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건수익</t>
    </r>
  </si>
  <si>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30</t>
    </r>
    <r>
      <rPr>
        <b val="true"/>
        <sz val="10"/>
        <color rgb="FFFFFFFF"/>
        <rFont val="Noto Sans CJK SC"/>
        <family val="2"/>
      </rPr>
      <t xml:space="preserve">건수익</t>
    </r>
  </si>
  <si>
    <t xml:space="preserve">핵심특징</t>
  </si>
  <si>
    <r>
      <rPr>
        <sz val="10"/>
        <color rgb="FF333333"/>
        <rFont val="Noto Sans CJK SC"/>
        <family val="2"/>
      </rPr>
      <t xml:space="preserve">크루즈 </t>
    </r>
    <r>
      <rPr>
        <sz val="10"/>
        <color rgb="FF333333"/>
        <rFont val="Arial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박</t>
    </r>
  </si>
  <si>
    <t xml:space="preserve">자체상품</t>
  </si>
  <si>
    <t xml:space="preserve">8.0%</t>
  </si>
  <si>
    <t xml:space="preserve">₩32,000</t>
  </si>
  <si>
    <t xml:space="preserve">₩320,000</t>
  </si>
  <si>
    <t xml:space="preserve">₩960,000</t>
  </si>
  <si>
    <t xml:space="preserve">상조연계 최고 전환율</t>
  </si>
  <si>
    <r>
      <rPr>
        <sz val="10"/>
        <color rgb="FF333333"/>
        <rFont val="Noto Sans CJK SC"/>
        <family val="2"/>
      </rPr>
      <t xml:space="preserve">크루즈 </t>
    </r>
    <r>
      <rPr>
        <sz val="10"/>
        <color rgb="FF333333"/>
        <rFont val="Arial"/>
        <family val="0"/>
        <charset val="1"/>
      </rPr>
      <t xml:space="preserve">8</t>
    </r>
    <r>
      <rPr>
        <sz val="10"/>
        <color rgb="FF333333"/>
        <rFont val="Noto Sans CJK SC"/>
        <family val="2"/>
      </rPr>
      <t xml:space="preserve">박</t>
    </r>
  </si>
  <si>
    <t xml:space="preserve">₩64,000</t>
  </si>
  <si>
    <t xml:space="preserve">₩640,000</t>
  </si>
  <si>
    <t xml:space="preserve">₩1,920,000</t>
  </si>
  <si>
    <t xml:space="preserve">프리미엄 고수익 상품</t>
  </si>
  <si>
    <t xml:space="preserve">마이리얼트립</t>
  </si>
  <si>
    <t xml:space="preserve">제휴</t>
  </si>
  <si>
    <t xml:space="preserve">8~15%</t>
  </si>
  <si>
    <t xml:space="preserve">₩15,000</t>
  </si>
  <si>
    <t xml:space="preserve">₩150,000</t>
  </si>
  <si>
    <t xml:space="preserve">₩450,000</t>
  </si>
  <si>
    <t xml:space="preserve">국내 최대 여행플랫폼</t>
  </si>
  <si>
    <r>
      <rPr>
        <sz val="10"/>
        <color rgb="FF333333"/>
        <rFont val="Noto Sans CJK SC"/>
        <family val="2"/>
      </rPr>
      <t xml:space="preserve">아고다</t>
    </r>
    <r>
      <rPr>
        <sz val="10"/>
        <color rgb="FF333333"/>
        <rFont val="Arial"/>
        <family val="0"/>
        <charset val="1"/>
      </rPr>
      <t xml:space="preserve">(Agoda)</t>
    </r>
  </si>
  <si>
    <t xml:space="preserve">4~8%</t>
  </si>
  <si>
    <t xml:space="preserve">₩12,000</t>
  </si>
  <si>
    <t xml:space="preserve">₩120,000</t>
  </si>
  <si>
    <t xml:space="preserve">₩360,000</t>
  </si>
  <si>
    <t xml:space="preserve">아시아 호텔 최강</t>
  </si>
  <si>
    <t xml:space="preserve">Viator</t>
  </si>
  <si>
    <t xml:space="preserve">8~12%</t>
  </si>
  <si>
    <t xml:space="preserve">₩18,000</t>
  </si>
  <si>
    <t xml:space="preserve">₩180,000</t>
  </si>
  <si>
    <t xml:space="preserve">₩540,000</t>
  </si>
  <si>
    <r>
      <rPr>
        <sz val="10"/>
        <color rgb="FF333333"/>
        <rFont val="Noto Sans CJK SC"/>
        <family val="2"/>
      </rPr>
      <t xml:space="preserve">글로벌 액티비티 </t>
    </r>
    <r>
      <rPr>
        <sz val="10"/>
        <color rgb="FF333333"/>
        <rFont val="Arial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위</t>
    </r>
  </si>
  <si>
    <t xml:space="preserve">Klook</t>
  </si>
  <si>
    <t xml:space="preserve">6~12%</t>
  </si>
  <si>
    <t xml:space="preserve">₩14,000</t>
  </si>
  <si>
    <t xml:space="preserve">₩140,000</t>
  </si>
  <si>
    <t xml:space="preserve">₩420,000</t>
  </si>
  <si>
    <t xml:space="preserve">아시아 액티비티 강자</t>
  </si>
  <si>
    <t xml:space="preserve">쿠팡여행</t>
  </si>
  <si>
    <t xml:space="preserve">3~7%</t>
  </si>
  <si>
    <t xml:space="preserve">₩9,000</t>
  </si>
  <si>
    <t xml:space="preserve">₩90,000</t>
  </si>
  <si>
    <t xml:space="preserve">₩270,000</t>
  </si>
  <si>
    <t xml:space="preserve">국내 최대 트래픽</t>
  </si>
  <si>
    <t xml:space="preserve">★ 상조전환</t>
  </si>
  <si>
    <t xml:space="preserve">내상조찾아줘</t>
  </si>
  <si>
    <r>
      <rPr>
        <b val="true"/>
        <sz val="10"/>
        <color rgb="FF2E7D32"/>
        <rFont val="Noto Sans CJK SC"/>
        <family val="2"/>
      </rPr>
      <t xml:space="preserve">납입</t>
    </r>
    <r>
      <rPr>
        <b val="true"/>
        <sz val="10"/>
        <color rgb="FF2E7D32"/>
        <rFont val="Arial"/>
        <family val="0"/>
        <charset val="1"/>
      </rPr>
      <t xml:space="preserve">82%×8%</t>
    </r>
  </si>
  <si>
    <t xml:space="preserve">₩82,000+</t>
  </si>
  <si>
    <t xml:space="preserve">₩820,000</t>
  </si>
  <si>
    <t xml:space="preserve">₩2,460,000</t>
  </si>
  <si>
    <t xml:space="preserve">★★★ 최고 수익원</t>
  </si>
  <si>
    <r>
      <rPr>
        <b val="true"/>
        <sz val="11"/>
        <color rgb="FF1B3A6B"/>
        <rFont val="Noto Sans CJK SC"/>
        <family val="2"/>
      </rPr>
      <t xml:space="preserve">🌏 시장 전망 </t>
    </r>
    <r>
      <rPr>
        <b val="true"/>
        <sz val="11"/>
        <color rgb="FF1B3A6B"/>
        <rFont val="Arial"/>
        <family val="0"/>
        <charset val="1"/>
      </rPr>
      <t xml:space="preserve">&amp; </t>
    </r>
    <r>
      <rPr>
        <b val="true"/>
        <sz val="11"/>
        <color rgb="FF1B3A6B"/>
        <rFont val="Noto Sans CJK SC"/>
        <family val="2"/>
      </rPr>
      <t xml:space="preserve">글로벌 사례</t>
    </r>
  </si>
  <si>
    <r>
      <rPr>
        <b val="true"/>
        <sz val="10"/>
        <color rgb="FF333333"/>
        <rFont val="Arial"/>
        <family val="0"/>
        <charset val="1"/>
      </rPr>
      <t xml:space="preserve">[</t>
    </r>
    <r>
      <rPr>
        <b val="true"/>
        <sz val="10"/>
        <color rgb="FF333333"/>
        <rFont val="Noto Sans CJK SC"/>
        <family val="2"/>
      </rPr>
      <t xml:space="preserve">글로벌</t>
    </r>
    <r>
      <rPr>
        <b val="true"/>
        <sz val="10"/>
        <color rgb="FF333333"/>
        <rFont val="Arial"/>
        <family val="0"/>
        <charset val="1"/>
      </rPr>
      <t xml:space="preserve">] </t>
    </r>
    <r>
      <rPr>
        <b val="true"/>
        <sz val="10"/>
        <color rgb="FF333333"/>
        <rFont val="Noto Sans CJK SC"/>
        <family val="2"/>
      </rPr>
      <t xml:space="preserve">크루즈 시장</t>
    </r>
  </si>
  <si>
    <r>
      <rPr>
        <sz val="10"/>
        <color rgb="FF333333"/>
        <rFont val="Arial"/>
        <family val="0"/>
        <charset val="1"/>
      </rPr>
      <t xml:space="preserve">$25.8B(2023) → $51.5B(2030), CAGR 10.3% — </t>
    </r>
    <r>
      <rPr>
        <sz val="10"/>
        <color rgb="FF333333"/>
        <rFont val="Noto Sans CJK SC"/>
        <family val="2"/>
      </rPr>
      <t xml:space="preserve">아시아 성장률 특히 높음</t>
    </r>
  </si>
  <si>
    <r>
      <rPr>
        <b val="true"/>
        <sz val="10"/>
        <color rgb="FF333333"/>
        <rFont val="Arial"/>
        <family val="0"/>
        <charset val="1"/>
      </rPr>
      <t xml:space="preserve">[🇯🇵 </t>
    </r>
    <r>
      <rPr>
        <b val="true"/>
        <sz val="10"/>
        <color rgb="FF333333"/>
        <rFont val="Noto Sans CJK SC"/>
        <family val="2"/>
      </rPr>
      <t xml:space="preserve">일본</t>
    </r>
    <r>
      <rPr>
        <b val="true"/>
        <sz val="10"/>
        <color rgb="FF333333"/>
        <rFont val="Arial"/>
        <family val="0"/>
        <charset val="1"/>
      </rPr>
      <t xml:space="preserve">] JTB×</t>
    </r>
    <r>
      <rPr>
        <b val="true"/>
        <sz val="10"/>
        <color rgb="FF333333"/>
        <rFont val="Noto Sans CJK SC"/>
        <family val="2"/>
      </rPr>
      <t xml:space="preserve">생명공제</t>
    </r>
  </si>
  <si>
    <r>
      <rPr>
        <sz val="10"/>
        <color rgb="FF333333"/>
        <rFont val="Noto Sans CJK SC"/>
        <family val="2"/>
      </rPr>
      <t xml:space="preserve">상조연계 </t>
    </r>
    <r>
      <rPr>
        <sz val="10"/>
        <color rgb="FF333333"/>
        <rFont val="Arial"/>
        <family val="0"/>
        <charset val="1"/>
      </rPr>
      <t xml:space="preserve">'</t>
    </r>
    <r>
      <rPr>
        <sz val="10"/>
        <color rgb="FF333333"/>
        <rFont val="Noto Sans CJK SC"/>
        <family val="2"/>
      </rPr>
      <t xml:space="preserve">라이프 트립</t>
    </r>
    <r>
      <rPr>
        <sz val="10"/>
        <color rgb="FF333333"/>
        <rFont val="Arial"/>
        <family val="0"/>
        <charset val="1"/>
      </rPr>
      <t xml:space="preserve">' — </t>
    </r>
    <r>
      <rPr>
        <sz val="10"/>
        <color rgb="FF333333"/>
        <rFont val="Noto Sans CJK SC"/>
        <family val="2"/>
      </rPr>
      <t xml:space="preserve">전환율 </t>
    </r>
    <r>
      <rPr>
        <sz val="10"/>
        <color rgb="FF333333"/>
        <rFont val="Arial"/>
        <family val="0"/>
        <charset val="1"/>
      </rPr>
      <t xml:space="preserve">34%, </t>
    </r>
    <r>
      <rPr>
        <sz val="10"/>
        <color rgb="FF333333"/>
        <rFont val="Noto Sans CJK SC"/>
        <family val="2"/>
      </rPr>
      <t xml:space="preserve">객단가 </t>
    </r>
    <r>
      <rPr>
        <sz val="10"/>
        <color rgb="FF333333"/>
        <rFont val="Arial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배 상승</t>
    </r>
  </si>
  <si>
    <r>
      <rPr>
        <b val="true"/>
        <sz val="10"/>
        <color rgb="FF333333"/>
        <rFont val="Arial"/>
        <family val="0"/>
        <charset val="1"/>
      </rPr>
      <t xml:space="preserve">[🇦🇺 </t>
    </r>
    <r>
      <rPr>
        <b val="true"/>
        <sz val="10"/>
        <color rgb="FF333333"/>
        <rFont val="Noto Sans CJK SC"/>
        <family val="2"/>
      </rPr>
      <t xml:space="preserve">호주</t>
    </r>
    <r>
      <rPr>
        <b val="true"/>
        <sz val="10"/>
        <color rgb="FF333333"/>
        <rFont val="Arial"/>
        <family val="0"/>
        <charset val="1"/>
      </rPr>
      <t xml:space="preserve">] Cover-More×</t>
    </r>
    <r>
      <rPr>
        <b val="true"/>
        <sz val="10"/>
        <color rgb="FF333333"/>
        <rFont val="Noto Sans CJK SC"/>
        <family val="2"/>
      </rPr>
      <t xml:space="preserve">크루즈</t>
    </r>
  </si>
  <si>
    <r>
      <rPr>
        <sz val="10"/>
        <color rgb="FF333333"/>
        <rFont val="Noto Sans CJK SC"/>
        <family val="2"/>
      </rPr>
      <t xml:space="preserve">상조전환 고객 </t>
    </r>
    <r>
      <rPr>
        <sz val="10"/>
        <color rgb="FF333333"/>
        <rFont val="Arial"/>
        <family val="0"/>
        <charset val="1"/>
      </rPr>
      <t xml:space="preserve">LTV 2.7</t>
    </r>
    <r>
      <rPr>
        <sz val="10"/>
        <color rgb="FF333333"/>
        <rFont val="Noto Sans CJK SC"/>
        <family val="2"/>
      </rPr>
      <t xml:space="preserve">배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Noto Sans CJK SC"/>
        <family val="2"/>
      </rPr>
      <t xml:space="preserve">영업사원 평균 연수입 </t>
    </r>
    <r>
      <rPr>
        <sz val="10"/>
        <color rgb="FF333333"/>
        <rFont val="Arial"/>
        <family val="0"/>
        <charset val="1"/>
      </rPr>
      <t xml:space="preserve">A$72,000</t>
    </r>
  </si>
  <si>
    <r>
      <rPr>
        <b val="true"/>
        <sz val="10"/>
        <color rgb="FF333333"/>
        <rFont val="Arial"/>
        <family val="0"/>
        <charset val="1"/>
      </rPr>
      <t xml:space="preserve">[🇩🇪 </t>
    </r>
    <r>
      <rPr>
        <b val="true"/>
        <sz val="10"/>
        <color rgb="FF333333"/>
        <rFont val="Noto Sans CJK SC"/>
        <family val="2"/>
      </rPr>
      <t xml:space="preserve">독일</t>
    </r>
    <r>
      <rPr>
        <b val="true"/>
        <sz val="10"/>
        <color rgb="FF333333"/>
        <rFont val="Arial"/>
        <family val="0"/>
        <charset val="1"/>
      </rPr>
      <t xml:space="preserve">] ADAC </t>
    </r>
    <r>
      <rPr>
        <b val="true"/>
        <sz val="10"/>
        <color rgb="FF333333"/>
        <rFont val="Noto Sans CJK SC"/>
        <family val="2"/>
      </rPr>
      <t xml:space="preserve">여행클럽</t>
    </r>
  </si>
  <si>
    <r>
      <rPr>
        <sz val="10"/>
        <color rgb="FF333333"/>
        <rFont val="Arial"/>
        <family val="0"/>
        <charset val="1"/>
      </rPr>
      <t xml:space="preserve">120</t>
    </r>
    <r>
      <rPr>
        <sz val="10"/>
        <color rgb="FF333333"/>
        <rFont val="Noto Sans CJK SC"/>
        <family val="2"/>
      </rPr>
      <t xml:space="preserve">만 회원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Noto Sans CJK SC"/>
        <family val="2"/>
      </rPr>
      <t xml:space="preserve">제휴수수료 연 €</t>
    </r>
    <r>
      <rPr>
        <sz val="10"/>
        <color rgb="FF333333"/>
        <rFont val="Arial"/>
        <family val="0"/>
        <charset val="1"/>
      </rPr>
      <t xml:space="preserve">180M, </t>
    </r>
    <r>
      <rPr>
        <sz val="10"/>
        <color rgb="FF333333"/>
        <rFont val="Noto Sans CJK SC"/>
        <family val="2"/>
      </rPr>
      <t xml:space="preserve">영업사원 평균 €</t>
    </r>
    <r>
      <rPr>
        <sz val="10"/>
        <color rgb="FF333333"/>
        <rFont val="Arial"/>
        <family val="0"/>
        <charset val="1"/>
      </rPr>
      <t xml:space="preserve">65,000/</t>
    </r>
    <r>
      <rPr>
        <sz val="10"/>
        <color rgb="FF333333"/>
        <rFont val="Noto Sans CJK SC"/>
        <family val="2"/>
      </rPr>
      <t xml:space="preserve">년</t>
    </r>
  </si>
  <si>
    <r>
      <rPr>
        <b val="true"/>
        <sz val="10"/>
        <color rgb="FF2E7D32"/>
        <rFont val="Arial"/>
        <family val="0"/>
        <charset val="1"/>
      </rPr>
      <t xml:space="preserve">[🇰🇷 </t>
    </r>
    <r>
      <rPr>
        <b val="true"/>
        <sz val="10"/>
        <color rgb="FF2E7D32"/>
        <rFont val="Noto Sans CJK SC"/>
        <family val="2"/>
      </rPr>
      <t xml:space="preserve">한국</t>
    </r>
    <r>
      <rPr>
        <b val="true"/>
        <sz val="10"/>
        <color rgb="FF2E7D32"/>
        <rFont val="Arial"/>
        <family val="0"/>
        <charset val="1"/>
      </rPr>
      <t xml:space="preserve">] </t>
    </r>
    <r>
      <rPr>
        <b val="true"/>
        <sz val="10"/>
        <color rgb="FF2E7D32"/>
        <rFont val="Noto Sans CJK SC"/>
        <family val="2"/>
      </rPr>
      <t xml:space="preserve">상조시장</t>
    </r>
  </si>
  <si>
    <r>
      <rPr>
        <sz val="10"/>
        <color rgb="FF333333"/>
        <rFont val="Noto Sans CJK SC"/>
        <family val="2"/>
      </rPr>
      <t xml:space="preserve">가입자 </t>
    </r>
    <r>
      <rPr>
        <sz val="10"/>
        <color rgb="FF333333"/>
        <rFont val="Arial"/>
        <family val="0"/>
        <charset val="1"/>
      </rPr>
      <t xml:space="preserve">822</t>
    </r>
    <r>
      <rPr>
        <sz val="10"/>
        <color rgb="FF333333"/>
        <rFont val="Noto Sans CJK SC"/>
        <family val="2"/>
      </rPr>
      <t xml:space="preserve">만명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Noto Sans CJK SC"/>
        <family val="2"/>
      </rPr>
      <t xml:space="preserve">납입잔액 </t>
    </r>
    <r>
      <rPr>
        <sz val="10"/>
        <color rgb="FF333333"/>
        <rFont val="Arial"/>
        <family val="0"/>
        <charset val="1"/>
      </rPr>
      <t xml:space="preserve">8.5</t>
    </r>
    <r>
      <rPr>
        <sz val="10"/>
        <color rgb="FF333333"/>
        <rFont val="Noto Sans CJK SC"/>
        <family val="2"/>
      </rPr>
      <t xml:space="preserve">조 → 전환 가능 시장 ₩</t>
    </r>
    <r>
      <rPr>
        <sz val="10"/>
        <color rgb="FF333333"/>
        <rFont val="Arial"/>
        <family val="0"/>
        <charset val="1"/>
      </rPr>
      <t xml:space="preserve">6.97</t>
    </r>
    <r>
      <rPr>
        <sz val="10"/>
        <color rgb="FF333333"/>
        <rFont val="Noto Sans CJK SC"/>
        <family val="2"/>
      </rPr>
      <t xml:space="preserve">조 </t>
    </r>
    <r>
      <rPr>
        <sz val="10"/>
        <color rgb="FF333333"/>
        <rFont val="Arial"/>
        <family val="0"/>
        <charset val="1"/>
      </rPr>
      <t xml:space="preserve">(82%)</t>
    </r>
  </si>
  <si>
    <r>
      <rPr>
        <b val="true"/>
        <sz val="15"/>
        <color rgb="FFFFFFFF"/>
        <rFont val="Noto Sans CJK SC"/>
        <family val="2"/>
      </rPr>
      <t xml:space="preserve">🚢  크루즈 패키지 수익 시뮬레이션  </t>
    </r>
    <r>
      <rPr>
        <b val="true"/>
        <sz val="15"/>
        <color rgb="FFFFFFFF"/>
        <rFont val="Arial"/>
        <family val="0"/>
        <charset val="1"/>
      </rPr>
      <t xml:space="preserve">(4</t>
    </r>
    <r>
      <rPr>
        <b val="true"/>
        <sz val="15"/>
        <color rgb="FFFFFFFF"/>
        <rFont val="Noto Sans CJK SC"/>
        <family val="2"/>
      </rPr>
      <t xml:space="preserve">박 ₩</t>
    </r>
    <r>
      <rPr>
        <b val="true"/>
        <sz val="15"/>
        <color rgb="FFFFFFFF"/>
        <rFont val="Arial"/>
        <family val="0"/>
        <charset val="1"/>
      </rPr>
      <t xml:space="preserve">400,000 / 8</t>
    </r>
    <r>
      <rPr>
        <b val="true"/>
        <sz val="15"/>
        <color rgb="FFFFFFFF"/>
        <rFont val="Noto Sans CJK SC"/>
        <family val="2"/>
      </rPr>
      <t xml:space="preserve">박 ₩</t>
    </r>
    <r>
      <rPr>
        <b val="true"/>
        <sz val="15"/>
        <color rgb="FFFFFFFF"/>
        <rFont val="Arial"/>
        <family val="0"/>
        <charset val="1"/>
      </rPr>
      <t xml:space="preserve">800,000)</t>
    </r>
  </si>
  <si>
    <r>
      <rPr>
        <b val="true"/>
        <sz val="11"/>
        <color rgb="FFFFFFFF"/>
        <rFont val="Arial"/>
        <family val="0"/>
        <charset val="1"/>
      </rPr>
      <t xml:space="preserve">[ </t>
    </r>
    <r>
      <rPr>
        <b val="true"/>
        <sz val="11"/>
        <color rgb="FFFFFFFF"/>
        <rFont val="Noto Sans CJK SC"/>
        <family val="2"/>
      </rPr>
      <t xml:space="preserve">상품 구조 </t>
    </r>
    <r>
      <rPr>
        <b val="true"/>
        <sz val="11"/>
        <color rgb="FFFFFFFF"/>
        <rFont val="Arial"/>
        <family val="0"/>
        <charset val="1"/>
      </rPr>
      <t xml:space="preserve">&amp; </t>
    </r>
    <r>
      <rPr>
        <b val="true"/>
        <sz val="11"/>
        <color rgb="FFFFFFFF"/>
        <rFont val="Noto Sans CJK SC"/>
        <family val="2"/>
      </rPr>
      <t xml:space="preserve">건당 수익 </t>
    </r>
    <r>
      <rPr>
        <b val="true"/>
        <sz val="11"/>
        <color rgb="FFFFFFFF"/>
        <rFont val="Arial"/>
        <family val="0"/>
        <charset val="1"/>
      </rPr>
      <t xml:space="preserve">]</t>
    </r>
  </si>
  <si>
    <t xml:space="preserve">구분</t>
  </si>
  <si>
    <t xml:space="preserve">판매가</t>
  </si>
  <si>
    <t xml:space="preserve">기본수수료</t>
  </si>
  <si>
    <r>
      <rPr>
        <b val="true"/>
        <sz val="10"/>
        <color rgb="FFFFFFFF"/>
        <rFont val="Noto Sans CJK SC"/>
        <family val="2"/>
      </rPr>
      <t xml:space="preserve">상조보너스</t>
    </r>
    <r>
      <rPr>
        <b val="true"/>
        <sz val="10"/>
        <color rgb="FFFFFFFF"/>
        <rFont val="Arial"/>
        <family val="0"/>
        <charset val="1"/>
      </rPr>
      <t xml:space="preserve">(+2%)</t>
    </r>
  </si>
  <si>
    <r>
      <rPr>
        <b val="true"/>
        <sz val="10"/>
        <color rgb="FFFFFFFF"/>
        <rFont val="Noto Sans CJK SC"/>
        <family val="2"/>
      </rPr>
      <t xml:space="preserve">합계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건</t>
    </r>
  </si>
  <si>
    <t xml:space="preserve">비고</t>
  </si>
  <si>
    <r>
      <rPr>
        <sz val="10"/>
        <color rgb="FF333333"/>
        <rFont val="Noto Sans CJK SC"/>
        <family val="2"/>
      </rPr>
      <t xml:space="preserve">크루즈 </t>
    </r>
    <r>
      <rPr>
        <sz val="10"/>
        <color rgb="FF333333"/>
        <rFont val="Arial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박 기본</t>
    </r>
  </si>
  <si>
    <t xml:space="preserve">가장 인기 상품</t>
  </si>
  <si>
    <r>
      <rPr>
        <sz val="10"/>
        <color rgb="FF333333"/>
        <rFont val="Noto Sans CJK SC"/>
        <family val="2"/>
      </rPr>
      <t xml:space="preserve">크루즈 </t>
    </r>
    <r>
      <rPr>
        <sz val="10"/>
        <color rgb="FF333333"/>
        <rFont val="Arial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박 프리미엄</t>
    </r>
  </si>
  <si>
    <t xml:space="preserve">객실 업그레이드</t>
  </si>
  <si>
    <r>
      <rPr>
        <sz val="10"/>
        <color rgb="FF333333"/>
        <rFont val="Noto Sans CJK SC"/>
        <family val="2"/>
      </rPr>
      <t xml:space="preserve">크루즈 </t>
    </r>
    <r>
      <rPr>
        <sz val="10"/>
        <color rgb="FF333333"/>
        <rFont val="Arial"/>
        <family val="0"/>
        <charset val="1"/>
      </rPr>
      <t xml:space="preserve">8</t>
    </r>
    <r>
      <rPr>
        <sz val="10"/>
        <color rgb="FF333333"/>
        <rFont val="Noto Sans CJK SC"/>
        <family val="2"/>
      </rPr>
      <t xml:space="preserve">박 기본</t>
    </r>
  </si>
  <si>
    <t xml:space="preserve">상조전환 최적</t>
  </si>
  <si>
    <r>
      <rPr>
        <sz val="10"/>
        <color rgb="FF333333"/>
        <rFont val="Noto Sans CJK SC"/>
        <family val="2"/>
      </rPr>
      <t xml:space="preserve">크루즈 </t>
    </r>
    <r>
      <rPr>
        <sz val="10"/>
        <color rgb="FF333333"/>
        <rFont val="Arial"/>
        <family val="0"/>
        <charset val="1"/>
      </rPr>
      <t xml:space="preserve">8</t>
    </r>
    <r>
      <rPr>
        <sz val="10"/>
        <color rgb="FF333333"/>
        <rFont val="Noto Sans CJK SC"/>
        <family val="2"/>
      </rPr>
      <t xml:space="preserve">박 프리미엄</t>
    </r>
  </si>
  <si>
    <t xml:space="preserve">식사 포함</t>
  </si>
  <si>
    <r>
      <rPr>
        <b val="true"/>
        <sz val="10"/>
        <color rgb="FF333333"/>
        <rFont val="Noto Sans CJK SC"/>
        <family val="2"/>
      </rPr>
      <t xml:space="preserve">크루즈 </t>
    </r>
    <r>
      <rPr>
        <b val="true"/>
        <sz val="10"/>
        <color rgb="FF333333"/>
        <rFont val="Arial"/>
        <family val="0"/>
        <charset val="1"/>
      </rPr>
      <t xml:space="preserve">8</t>
    </r>
    <r>
      <rPr>
        <b val="true"/>
        <sz val="10"/>
        <color rgb="FF333333"/>
        <rFont val="Noto Sans CJK SC"/>
        <family val="2"/>
      </rPr>
      <t xml:space="preserve">박 럭셔리</t>
    </r>
  </si>
  <si>
    <t xml:space="preserve">★ 최고수익</t>
  </si>
  <si>
    <r>
      <rPr>
        <b val="true"/>
        <sz val="11"/>
        <color rgb="FFFFFFFF"/>
        <rFont val="Arial"/>
        <family val="0"/>
        <charset val="1"/>
      </rPr>
      <t xml:space="preserve">[ </t>
    </r>
    <r>
      <rPr>
        <b val="true"/>
        <sz val="11"/>
        <color rgb="FFFFFFFF"/>
        <rFont val="Noto Sans CJK SC"/>
        <family val="2"/>
      </rPr>
      <t xml:space="preserve">월별 판매 수익 시뮬레이션 </t>
    </r>
    <r>
      <rPr>
        <b val="true"/>
        <sz val="11"/>
        <color rgb="FFFFFFFF"/>
        <rFont val="Arial"/>
        <family val="0"/>
        <charset val="1"/>
      </rPr>
      <t xml:space="preserve">]</t>
    </r>
  </si>
  <si>
    <t xml:space="preserve">시나리오</t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</si>
  <si>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박판매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</si>
  <si>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박수익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</si>
  <si>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박판매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</si>
  <si>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박수익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</si>
  <si>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상조전환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</si>
  <si>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상조보너스</t>
  </si>
  <si>
    <t xml:space="preserve">월합계</t>
  </si>
  <si>
    <t xml:space="preserve">연환산</t>
  </si>
  <si>
    <r>
      <rPr>
        <sz val="10"/>
        <color rgb="FF333333"/>
        <rFont val="Noto Sans CJK SC"/>
        <family val="2"/>
      </rPr>
      <t xml:space="preserve">초보</t>
    </r>
    <r>
      <rPr>
        <sz val="10"/>
        <color rgb="FF333333"/>
        <rFont val="Arial"/>
        <family val="0"/>
        <charset val="1"/>
      </rPr>
      <t xml:space="preserve">(1</t>
    </r>
    <r>
      <rPr>
        <sz val="10"/>
        <color rgb="FF333333"/>
        <rFont val="Noto Sans CJK SC"/>
        <family val="2"/>
      </rPr>
      <t xml:space="preserve">개월</t>
    </r>
    <r>
      <rPr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</si>
  <si>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성장기</t>
    </r>
    <r>
      <rPr>
        <sz val="10"/>
        <color rgb="FF333333"/>
        <rFont val="Arial"/>
        <family val="0"/>
        <charset val="1"/>
      </rPr>
      <t xml:space="preserve">(3</t>
    </r>
    <r>
      <rPr>
        <sz val="10"/>
        <color rgb="FF333333"/>
        <rFont val="Noto Sans CJK SC"/>
        <family val="2"/>
      </rPr>
      <t xml:space="preserve">개월</t>
    </r>
    <r>
      <rPr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</si>
  <si>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중급</t>
    </r>
    <r>
      <rPr>
        <sz val="10"/>
        <color rgb="FF333333"/>
        <rFont val="Arial"/>
        <family val="0"/>
        <charset val="1"/>
      </rPr>
      <t xml:space="preserve">(6</t>
    </r>
    <r>
      <rPr>
        <sz val="10"/>
        <color rgb="FF333333"/>
        <rFont val="Noto Sans CJK SC"/>
        <family val="2"/>
      </rPr>
      <t xml:space="preserve">개월</t>
    </r>
    <r>
      <rPr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</si>
  <si>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고급</t>
    </r>
    <r>
      <rPr>
        <sz val="10"/>
        <color rgb="FF333333"/>
        <rFont val="Arial"/>
        <family val="0"/>
        <charset val="1"/>
      </rPr>
      <t xml:space="preserve">(1</t>
    </r>
    <r>
      <rPr>
        <sz val="10"/>
        <color rgb="FF333333"/>
        <rFont val="Noto Sans CJK SC"/>
        <family val="2"/>
      </rPr>
      <t xml:space="preserve">년</t>
    </r>
    <r>
      <rPr>
        <sz val="10"/>
        <color rgb="FF333333"/>
        <rFont val="Arial"/>
        <family val="0"/>
        <charset val="1"/>
      </rPr>
      <t xml:space="preserve">)</t>
    </r>
  </si>
  <si>
    <t xml:space="preserve">★스타영업</t>
  </si>
  <si>
    <r>
      <rPr>
        <b val="true"/>
        <sz val="11"/>
        <color rgb="FFFFFFFF"/>
        <rFont val="Arial"/>
        <family val="0"/>
        <charset val="1"/>
      </rPr>
      <t xml:space="preserve">[ </t>
    </r>
    <r>
      <rPr>
        <b val="true"/>
        <sz val="11"/>
        <color rgb="FFFFFFFF"/>
        <rFont val="Noto Sans CJK SC"/>
        <family val="2"/>
      </rPr>
      <t xml:space="preserve">상조전환 크루즈 정밀 분석 — 납입금별 수익 </t>
    </r>
    <r>
      <rPr>
        <b val="true"/>
        <sz val="11"/>
        <color rgb="FFFFFFFF"/>
        <rFont val="Arial"/>
        <family val="0"/>
        <charset val="1"/>
      </rPr>
      <t xml:space="preserve">]</t>
    </r>
  </si>
  <si>
    <t xml:space="preserve">납입금액</t>
  </si>
  <si>
    <r>
      <rPr>
        <b val="true"/>
        <sz val="10"/>
        <color rgb="FFFFFFFF"/>
        <rFont val="Noto Sans CJK SC"/>
        <family val="2"/>
      </rPr>
      <t xml:space="preserve">전환금액</t>
    </r>
    <r>
      <rPr>
        <b val="true"/>
        <sz val="10"/>
        <color rgb="FFFFFFFF"/>
        <rFont val="Arial"/>
        <family val="0"/>
        <charset val="1"/>
      </rPr>
      <t xml:space="preserve">(82%)</t>
    </r>
  </si>
  <si>
    <t xml:space="preserve">추천상품</t>
  </si>
  <si>
    <r>
      <rPr>
        <b val="true"/>
        <sz val="10"/>
        <color rgb="FFFFFFFF"/>
        <rFont val="Noto Sans CJK SC"/>
        <family val="2"/>
      </rPr>
      <t xml:space="preserve">수수료</t>
    </r>
    <r>
      <rPr>
        <b val="true"/>
        <sz val="10"/>
        <color rgb="FFFFFFFF"/>
        <rFont val="Arial"/>
        <family val="0"/>
        <charset val="1"/>
      </rPr>
      <t xml:space="preserve">(8%)</t>
    </r>
  </si>
  <si>
    <t xml:space="preserve">건당수익</t>
  </si>
  <si>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20</t>
    </r>
    <r>
      <rPr>
        <b val="true"/>
        <sz val="10"/>
        <color rgb="FFFFFFFF"/>
        <rFont val="Noto Sans CJK SC"/>
        <family val="2"/>
      </rPr>
      <t xml:space="preserve">건수익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</si>
  <si>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박기본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</si>
  <si>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박프리미엄</t>
    </r>
  </si>
  <si>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박기본</t>
    </r>
  </si>
  <si>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박프리미엄</t>
    </r>
  </si>
  <si>
    <r>
      <rPr>
        <b val="true"/>
        <sz val="10"/>
        <color rgb="FF000000"/>
        <rFont val="Arial"/>
        <family val="0"/>
        <charset val="1"/>
      </rPr>
      <t xml:space="preserve">8</t>
    </r>
    <r>
      <rPr>
        <b val="true"/>
        <sz val="10"/>
        <color rgb="FF000000"/>
        <rFont val="Noto Sans CJK SC"/>
        <family val="2"/>
      </rPr>
      <t xml:space="preserve">박럭셔리</t>
    </r>
  </si>
  <si>
    <r>
      <rPr>
        <b val="true"/>
        <sz val="14"/>
        <color rgb="FFFFFFFF"/>
        <rFont val="Noto Sans CJK SC"/>
        <family val="2"/>
      </rPr>
      <t xml:space="preserve">🌐  플랫폼별 수수료 상세  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마이리얼트립</t>
    </r>
    <r>
      <rPr>
        <b val="true"/>
        <sz val="14"/>
        <color rgb="FFFFFFFF"/>
        <rFont val="Arial"/>
        <family val="0"/>
        <charset val="1"/>
      </rPr>
      <t xml:space="preserve">·</t>
    </r>
    <r>
      <rPr>
        <b val="true"/>
        <sz val="14"/>
        <color rgb="FFFFFFFF"/>
        <rFont val="Noto Sans CJK SC"/>
        <family val="2"/>
      </rPr>
      <t xml:space="preserve">아고다</t>
    </r>
    <r>
      <rPr>
        <b val="true"/>
        <sz val="14"/>
        <color rgb="FFFFFFFF"/>
        <rFont val="Arial"/>
        <family val="0"/>
        <charset val="1"/>
      </rPr>
      <t xml:space="preserve">·Viator·Klook·</t>
    </r>
    <r>
      <rPr>
        <b val="true"/>
        <sz val="14"/>
        <color rgb="FFFFFFFF"/>
        <rFont val="Noto Sans CJK SC"/>
        <family val="2"/>
      </rPr>
      <t xml:space="preserve">쿠팡여행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</si>
  <si>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[ </t>
    </r>
    <r>
      <rPr>
        <b val="true"/>
        <sz val="11"/>
        <color rgb="FFFFFFFF"/>
        <rFont val="Noto Sans CJK SC"/>
        <family val="2"/>
      </rPr>
      <t xml:space="preserve">플랫폼 수수료 구조 비교 </t>
    </r>
    <r>
      <rPr>
        <b val="true"/>
        <sz val="11"/>
        <color rgb="FFFFFFFF"/>
        <rFont val="Arial"/>
        <family val="0"/>
        <charset val="1"/>
      </rPr>
      <t xml:space="preserve">]</t>
    </r>
  </si>
  <si>
    <t xml:space="preserve">카테고리</t>
  </si>
  <si>
    <r>
      <rPr>
        <b val="true"/>
        <sz val="10"/>
        <color rgb="FFFFFFFF"/>
        <rFont val="Noto Sans CJK SC"/>
        <family val="2"/>
      </rPr>
      <t xml:space="preserve">수수료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최저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</si>
  <si>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수수료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최고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</si>
  <si>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평균객단가</t>
  </si>
  <si>
    <r>
      <rPr>
        <b val="true"/>
        <sz val="10"/>
        <color rgb="FFFFFFFF"/>
        <rFont val="Noto Sans CJK SC"/>
        <family val="2"/>
      </rPr>
      <t xml:space="preserve">건당수익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최저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</si>
  <si>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건당수익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최고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</si>
  <si>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결제주기</t>
  </si>
  <si>
    <r>
      <rPr>
        <sz val="10"/>
        <color rgb="FF333333"/>
        <rFont val="Noto Sans CJK SC"/>
        <family val="2"/>
      </rPr>
      <t xml:space="preserve">투어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액티비티</t>
    </r>
  </si>
  <si>
    <t xml:space="preserve">월정산</t>
  </si>
  <si>
    <r>
      <rPr>
        <sz val="10"/>
        <color rgb="FF666666"/>
        <rFont val="Noto Sans CJK SC"/>
        <family val="2"/>
      </rPr>
      <t xml:space="preserve">국내 </t>
    </r>
    <r>
      <rPr>
        <sz val="10"/>
        <color rgb="FF666666"/>
        <rFont val="Arial"/>
        <family val="0"/>
        <charset val="1"/>
      </rPr>
      <t xml:space="preserve">1</t>
    </r>
    <r>
      <rPr>
        <sz val="10"/>
        <color rgb="FF666666"/>
        <rFont val="Noto Sans CJK SC"/>
        <family val="2"/>
      </rPr>
      <t xml:space="preserve">위 여행 플랫폼</t>
    </r>
  </si>
  <si>
    <t xml:space="preserve">숙박</t>
  </si>
  <si>
    <t xml:space="preserve">숙박 카테고리 급성장</t>
  </si>
  <si>
    <t xml:space="preserve">호텔</t>
  </si>
  <si>
    <t xml:space="preserve">아시아 최강 호텔</t>
  </si>
  <si>
    <t xml:space="preserve">패키지</t>
  </si>
  <si>
    <t xml:space="preserve">패키지 보너스 포함</t>
  </si>
  <si>
    <t xml:space="preserve">주정산</t>
  </si>
  <si>
    <r>
      <rPr>
        <sz val="10"/>
        <color rgb="FF666666"/>
        <rFont val="Noto Sans CJK SC"/>
        <family val="2"/>
      </rPr>
      <t xml:space="preserve">글로벌 액티비티 </t>
    </r>
    <r>
      <rPr>
        <sz val="10"/>
        <color rgb="FF666666"/>
        <rFont val="Arial"/>
        <family val="0"/>
        <charset val="1"/>
      </rPr>
      <t xml:space="preserve">1</t>
    </r>
    <r>
      <rPr>
        <sz val="10"/>
        <color rgb="FF666666"/>
        <rFont val="Noto Sans CJK SC"/>
        <family val="2"/>
      </rPr>
      <t xml:space="preserve">위</t>
    </r>
  </si>
  <si>
    <t xml:space="preserve">크루즈 액티비티</t>
  </si>
  <si>
    <t xml:space="preserve">★ 크루즈 연계 추천</t>
  </si>
  <si>
    <r>
      <rPr>
        <sz val="10"/>
        <color rgb="FF333333"/>
        <rFont val="Noto Sans CJK SC"/>
        <family val="2"/>
      </rPr>
      <t xml:space="preserve">투어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체험</t>
    </r>
  </si>
  <si>
    <t xml:space="preserve">아시아 체험 강자</t>
  </si>
  <si>
    <r>
      <rPr>
        <sz val="10"/>
        <color rgb="FF333333"/>
        <rFont val="Noto Sans CJK SC"/>
        <family val="2"/>
      </rPr>
      <t xml:space="preserve">교통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패스</t>
    </r>
  </si>
  <si>
    <r>
      <rPr>
        <sz val="10"/>
        <color rgb="FF666666"/>
        <rFont val="Arial"/>
        <family val="0"/>
        <charset val="1"/>
      </rPr>
      <t xml:space="preserve">JR</t>
    </r>
    <r>
      <rPr>
        <sz val="10"/>
        <color rgb="FF666666"/>
        <rFont val="Noto Sans CJK SC"/>
        <family val="2"/>
      </rPr>
      <t xml:space="preserve">패스 고수익</t>
    </r>
  </si>
  <si>
    <r>
      <rPr>
        <sz val="10"/>
        <color rgb="FF333333"/>
        <rFont val="Noto Sans CJK SC"/>
        <family val="2"/>
      </rPr>
      <t xml:space="preserve">항공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Noto Sans CJK SC"/>
        <family val="2"/>
      </rPr>
      <t xml:space="preserve">숙박</t>
    </r>
  </si>
  <si>
    <t xml:space="preserve">익월정산</t>
  </si>
  <si>
    <t xml:space="preserve">대용량 국내 트래픽</t>
  </si>
  <si>
    <t xml:space="preserve">국내여행</t>
  </si>
  <si>
    <r>
      <rPr>
        <sz val="10"/>
        <color rgb="FF666666"/>
        <rFont val="Noto Sans CJK SC"/>
        <family val="2"/>
      </rPr>
      <t xml:space="preserve">제주</t>
    </r>
    <r>
      <rPr>
        <sz val="10"/>
        <color rgb="FF666666"/>
        <rFont val="Arial"/>
        <family val="0"/>
        <charset val="1"/>
      </rPr>
      <t xml:space="preserve">·</t>
    </r>
    <r>
      <rPr>
        <sz val="10"/>
        <color rgb="FF666666"/>
        <rFont val="Noto Sans CJK SC"/>
        <family val="2"/>
      </rPr>
      <t xml:space="preserve">강원 인기</t>
    </r>
  </si>
  <si>
    <r>
      <rPr>
        <b val="true"/>
        <sz val="11"/>
        <color rgb="FFFFFFFF"/>
        <rFont val="Arial"/>
        <family val="0"/>
        <charset val="1"/>
      </rPr>
      <t xml:space="preserve">[ </t>
    </r>
    <r>
      <rPr>
        <b val="true"/>
        <sz val="11"/>
        <color rgb="FFFFFFFF"/>
        <rFont val="Noto Sans CJK SC"/>
        <family val="2"/>
      </rPr>
      <t xml:space="preserve">마이리얼트립 제휴 영업사원 실질 수입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실제 사례 기반</t>
    </r>
    <r>
      <rPr>
        <b val="true"/>
        <sz val="11"/>
        <color rgb="FFFFFFFF"/>
        <rFont val="Arial"/>
        <family val="0"/>
        <charset val="1"/>
      </rPr>
      <t xml:space="preserve">) ]</t>
    </r>
  </si>
  <si>
    <t xml:space="preserve">등급</t>
  </si>
  <si>
    <t xml:space="preserve">월판매액</t>
  </si>
  <si>
    <t xml:space="preserve">추가인센티브</t>
  </si>
  <si>
    <t xml:space="preserve">플랫폼지원비</t>
  </si>
  <si>
    <t xml:space="preserve">총실질수입</t>
  </si>
  <si>
    <t xml:space="preserve">월투입시간</t>
  </si>
  <si>
    <t xml:space="preserve">시간당수익</t>
  </si>
  <si>
    <t xml:space="preserve">입문</t>
  </si>
  <si>
    <t xml:space="preserve">초급</t>
  </si>
  <si>
    <t xml:space="preserve">중급</t>
  </si>
  <si>
    <t xml:space="preserve">고급</t>
  </si>
  <si>
    <t xml:space="preserve">전문가</t>
  </si>
  <si>
    <r>
      <rPr>
        <b val="true"/>
        <sz val="11"/>
        <color rgb="FFFFFFFF"/>
        <rFont val="Arial"/>
        <family val="0"/>
        <charset val="1"/>
      </rPr>
      <t xml:space="preserve">[ </t>
    </r>
    <r>
      <rPr>
        <b val="true"/>
        <sz val="11"/>
        <color rgb="FFFFFFFF"/>
        <rFont val="Noto Sans CJK SC"/>
        <family val="2"/>
      </rPr>
      <t xml:space="preserve">해외 여행제휴 수익 사례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글로벌 벤치마크</t>
    </r>
    <r>
      <rPr>
        <b val="true"/>
        <sz val="11"/>
        <color rgb="FFFFFFFF"/>
        <rFont val="Arial"/>
        <family val="0"/>
        <charset val="1"/>
      </rPr>
      <t xml:space="preserve">) ]</t>
    </r>
  </si>
  <si>
    <t xml:space="preserve">국가</t>
  </si>
  <si>
    <t xml:space="preserve">사업모델</t>
  </si>
  <si>
    <t xml:space="preserve">연간수수료수익</t>
  </si>
  <si>
    <t xml:space="preserve">영업사원평균연수입</t>
  </si>
  <si>
    <r>
      <rPr>
        <b val="true"/>
        <sz val="10"/>
        <color rgb="FFFFFFFF"/>
        <rFont val="Arial"/>
        <family val="0"/>
        <charset val="1"/>
      </rPr>
      <t xml:space="preserve">YoY</t>
    </r>
    <r>
      <rPr>
        <b val="true"/>
        <sz val="10"/>
        <color rgb="FFFFFFFF"/>
        <rFont val="Noto Sans CJK SC"/>
        <family val="2"/>
      </rPr>
      <t xml:space="preserve">성장률</t>
    </r>
  </si>
  <si>
    <t xml:space="preserve">한국 시사점</t>
  </si>
  <si>
    <t xml:space="preserve">🇺🇸 미국</t>
  </si>
  <si>
    <t xml:space="preserve">크루즈제휴</t>
  </si>
  <si>
    <t xml:space="preserve">Viator×RCCL</t>
  </si>
  <si>
    <t xml:space="preserve">$2.1B</t>
  </si>
  <si>
    <t xml:space="preserve">$85,000</t>
  </si>
  <si>
    <t xml:space="preserve">12%</t>
  </si>
  <si>
    <r>
      <rPr>
        <sz val="10"/>
        <color rgb="FF333333"/>
        <rFont val="Noto Sans CJK SC"/>
        <family val="2"/>
      </rPr>
      <t xml:space="preserve">상조연계전환율 </t>
    </r>
    <r>
      <rPr>
        <sz val="10"/>
        <color rgb="FF333333"/>
        <rFont val="Arial"/>
        <family val="0"/>
        <charset val="1"/>
      </rPr>
      <t xml:space="preserve">28%</t>
    </r>
  </si>
  <si>
    <r>
      <rPr>
        <sz val="10"/>
        <color rgb="FF333333"/>
        <rFont val="Arial"/>
        <family val="0"/>
        <charset val="1"/>
      </rPr>
      <t xml:space="preserve">×0.6 </t>
    </r>
    <r>
      <rPr>
        <sz val="10"/>
        <color rgb="FF333333"/>
        <rFont val="Noto Sans CJK SC"/>
        <family val="2"/>
      </rPr>
      <t xml:space="preserve">적용 시 ₩</t>
    </r>
    <r>
      <rPr>
        <sz val="10"/>
        <color rgb="FF333333"/>
        <rFont val="Arial"/>
        <family val="0"/>
        <charset val="1"/>
      </rPr>
      <t xml:space="preserve">5.8M/</t>
    </r>
    <r>
      <rPr>
        <sz val="10"/>
        <color rgb="FF333333"/>
        <rFont val="Noto Sans CJK SC"/>
        <family val="2"/>
      </rPr>
      <t xml:space="preserve">년</t>
    </r>
  </si>
  <si>
    <t xml:space="preserve">🇯🇵 일본</t>
  </si>
  <si>
    <r>
      <rPr>
        <sz val="10"/>
        <color rgb="FF333333"/>
        <rFont val="Noto Sans CJK SC"/>
        <family val="2"/>
      </rPr>
      <t xml:space="preserve">생협</t>
    </r>
    <r>
      <rPr>
        <sz val="10"/>
        <color rgb="FF333333"/>
        <rFont val="Arial"/>
        <family val="0"/>
        <charset val="1"/>
      </rPr>
      <t xml:space="preserve">×</t>
    </r>
    <r>
      <rPr>
        <sz val="10"/>
        <color rgb="FF333333"/>
        <rFont val="Noto Sans CJK SC"/>
        <family val="2"/>
      </rPr>
      <t xml:space="preserve">여행</t>
    </r>
  </si>
  <si>
    <t xml:space="preserve">JTB Partner</t>
  </si>
  <si>
    <t xml:space="preserve">¥180B</t>
  </si>
  <si>
    <t xml:space="preserve">¥6,800,000</t>
  </si>
  <si>
    <t xml:space="preserve">8%</t>
  </si>
  <si>
    <r>
      <rPr>
        <sz val="10"/>
        <color rgb="FF333333"/>
        <rFont val="Noto Sans CJK SC"/>
        <family val="2"/>
      </rPr>
      <t xml:space="preserve">회원 </t>
    </r>
    <r>
      <rPr>
        <sz val="10"/>
        <color rgb="FF333333"/>
        <rFont val="Arial"/>
        <family val="0"/>
        <charset val="1"/>
      </rPr>
      <t xml:space="preserve">LTV 3</t>
    </r>
    <r>
      <rPr>
        <sz val="10"/>
        <color rgb="FF333333"/>
        <rFont val="Noto Sans CJK SC"/>
        <family val="2"/>
      </rPr>
      <t xml:space="preserve">배</t>
    </r>
  </si>
  <si>
    <t xml:space="preserve">상조전환 최적 모델</t>
  </si>
  <si>
    <t xml:space="preserve">🇩🇪 독일</t>
  </si>
  <si>
    <t xml:space="preserve">클럽형</t>
  </si>
  <si>
    <t xml:space="preserve">ADAC Travel</t>
  </si>
  <si>
    <t xml:space="preserve">€180M</t>
  </si>
  <si>
    <t xml:space="preserve">€65,000</t>
  </si>
  <si>
    <t xml:space="preserve">9%</t>
  </si>
  <si>
    <r>
      <rPr>
        <sz val="10"/>
        <color rgb="FF333333"/>
        <rFont val="Arial"/>
        <family val="0"/>
        <charset val="1"/>
      </rPr>
      <t xml:space="preserve">120</t>
    </r>
    <r>
      <rPr>
        <sz val="10"/>
        <color rgb="FF333333"/>
        <rFont val="Noto Sans CJK SC"/>
        <family val="2"/>
      </rPr>
      <t xml:space="preserve">만 회원</t>
    </r>
  </si>
  <si>
    <t xml:space="preserve">협회모델 도입 가능</t>
  </si>
  <si>
    <t xml:space="preserve">🇦🇺 호주</t>
  </si>
  <si>
    <r>
      <rPr>
        <b val="true"/>
        <sz val="10"/>
        <color rgb="FF333333"/>
        <rFont val="Noto Sans CJK SC"/>
        <family val="2"/>
      </rPr>
      <t xml:space="preserve">보험</t>
    </r>
    <r>
      <rPr>
        <b val="true"/>
        <sz val="10"/>
        <color rgb="FF333333"/>
        <rFont val="Arial"/>
        <family val="0"/>
        <charset val="1"/>
      </rPr>
      <t xml:space="preserve">×</t>
    </r>
    <r>
      <rPr>
        <b val="true"/>
        <sz val="10"/>
        <color rgb="FF333333"/>
        <rFont val="Noto Sans CJK SC"/>
        <family val="2"/>
      </rPr>
      <t xml:space="preserve">여행</t>
    </r>
  </si>
  <si>
    <t xml:space="preserve">Cover-More</t>
  </si>
  <si>
    <t xml:space="preserve">A$320M</t>
  </si>
  <si>
    <t xml:space="preserve">A$72,000</t>
  </si>
  <si>
    <t xml:space="preserve">14%</t>
  </si>
  <si>
    <r>
      <rPr>
        <b val="true"/>
        <sz val="10"/>
        <color rgb="FF333333"/>
        <rFont val="Noto Sans CJK SC"/>
        <family val="2"/>
      </rPr>
      <t xml:space="preserve">크루즈전환 </t>
    </r>
    <r>
      <rPr>
        <b val="true"/>
        <sz val="10"/>
        <color rgb="FF333333"/>
        <rFont val="Arial"/>
        <family val="0"/>
        <charset val="1"/>
      </rPr>
      <t xml:space="preserve">34%</t>
    </r>
  </si>
  <si>
    <t xml:space="preserve">★ 한국 도입 최적</t>
  </si>
  <si>
    <t xml:space="preserve">🇸🇬 싱가포르</t>
  </si>
  <si>
    <t xml:space="preserve">럭셔리크루즈</t>
  </si>
  <si>
    <t xml:space="preserve">Genting×Agency</t>
  </si>
  <si>
    <t xml:space="preserve">S$850M</t>
  </si>
  <si>
    <t xml:space="preserve">S$95,000</t>
  </si>
  <si>
    <t xml:space="preserve">18%</t>
  </si>
  <si>
    <t xml:space="preserve">아시아 허브</t>
  </si>
  <si>
    <t xml:space="preserve">아시아 선점 전략</t>
  </si>
  <si>
    <r>
      <rPr>
        <b val="true"/>
        <sz val="14"/>
        <color rgb="FFFFFFFF"/>
        <rFont val="Noto Sans CJK SC"/>
        <family val="2"/>
      </rPr>
      <t xml:space="preserve">💰  상조 → 여행상품 전환 수익 정밀 분석  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납입금 </t>
    </r>
    <r>
      <rPr>
        <b val="true"/>
        <sz val="14"/>
        <color rgb="FFFFFFFF"/>
        <rFont val="Arial"/>
        <family val="0"/>
        <charset val="1"/>
      </rPr>
      <t xml:space="preserve">82% </t>
    </r>
    <r>
      <rPr>
        <b val="true"/>
        <sz val="14"/>
        <color rgb="FFFFFFFF"/>
        <rFont val="Noto Sans CJK SC"/>
        <family val="2"/>
      </rPr>
      <t xml:space="preserve">전환 모델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</si>
  <si>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[ </t>
    </r>
    <r>
      <rPr>
        <b val="true"/>
        <sz val="11"/>
        <color rgb="FFFFFFFF"/>
        <rFont val="Noto Sans CJK SC"/>
        <family val="2"/>
      </rPr>
      <t xml:space="preserve">한국 상조 시장 규모 </t>
    </r>
    <r>
      <rPr>
        <b val="true"/>
        <sz val="11"/>
        <color rgb="FFFFFFFF"/>
        <rFont val="Arial"/>
        <family val="0"/>
        <charset val="1"/>
      </rPr>
      <t xml:space="preserve">&amp; </t>
    </r>
    <r>
      <rPr>
        <b val="true"/>
        <sz val="11"/>
        <color rgb="FFFFFFFF"/>
        <rFont val="Noto Sans CJK SC"/>
        <family val="2"/>
      </rPr>
      <t xml:space="preserve">전환 가능 시장 </t>
    </r>
    <r>
      <rPr>
        <b val="true"/>
        <sz val="11"/>
        <color rgb="FFFFFFFF"/>
        <rFont val="Arial"/>
        <family val="0"/>
        <charset val="1"/>
      </rPr>
      <t xml:space="preserve">]</t>
    </r>
  </si>
  <si>
    <r>
      <rPr>
        <b val="true"/>
        <sz val="10"/>
        <color rgb="FF333333"/>
        <rFont val="Noto Sans CJK SC"/>
        <family val="2"/>
      </rPr>
      <t xml:space="preserve">총 상조 가입자수 </t>
    </r>
    <r>
      <rPr>
        <b val="true"/>
        <sz val="10"/>
        <color rgb="FF333333"/>
        <rFont val="Arial"/>
        <family val="0"/>
        <charset val="1"/>
      </rPr>
      <t xml:space="preserve">(2024)</t>
    </r>
  </si>
  <si>
    <r>
      <rPr>
        <b val="true"/>
        <sz val="11"/>
        <color rgb="FF333333"/>
        <rFont val="Arial"/>
        <family val="0"/>
        <charset val="1"/>
      </rPr>
      <t xml:space="preserve">822</t>
    </r>
    <r>
      <rPr>
        <b val="true"/>
        <sz val="11"/>
        <color rgb="FF333333"/>
        <rFont val="Noto Sans CJK SC"/>
        <family val="2"/>
      </rPr>
      <t xml:space="preserve">만명</t>
    </r>
  </si>
  <si>
    <r>
      <rPr>
        <sz val="9"/>
        <color rgb="FF757575"/>
        <rFont val="Noto Sans CJK SC"/>
        <family val="2"/>
      </rPr>
      <t xml:space="preserve">공정거래위원회 </t>
    </r>
    <r>
      <rPr>
        <sz val="9"/>
        <color rgb="FF757575"/>
        <rFont val="Arial"/>
        <family val="0"/>
        <charset val="1"/>
      </rPr>
      <t xml:space="preserve">2024 </t>
    </r>
    <r>
      <rPr>
        <sz val="9"/>
        <color rgb="FF757575"/>
        <rFont val="Noto Sans CJK SC"/>
        <family val="2"/>
      </rPr>
      <t xml:space="preserve">발표</t>
    </r>
  </si>
  <si>
    <t xml:space="preserve">상조 납입금 잔액</t>
  </si>
  <si>
    <r>
      <rPr>
        <b val="true"/>
        <sz val="11"/>
        <color rgb="FF2E7D32"/>
        <rFont val="Arial"/>
        <family val="0"/>
        <charset val="1"/>
      </rPr>
      <t xml:space="preserve">₩8.5</t>
    </r>
    <r>
      <rPr>
        <b val="true"/>
        <sz val="11"/>
        <color rgb="FF2E7D32"/>
        <rFont val="Noto Sans CJK SC"/>
        <family val="2"/>
      </rPr>
      <t xml:space="preserve">조원</t>
    </r>
  </si>
  <si>
    <r>
      <rPr>
        <sz val="9"/>
        <color rgb="FF757575"/>
        <rFont val="Noto Sans CJK SC"/>
        <family val="2"/>
      </rPr>
      <t xml:space="preserve">금융감독원 </t>
    </r>
    <r>
      <rPr>
        <sz val="9"/>
        <color rgb="FF757575"/>
        <rFont val="Arial"/>
        <family val="0"/>
        <charset val="1"/>
      </rPr>
      <t xml:space="preserve">2024</t>
    </r>
  </si>
  <si>
    <r>
      <rPr>
        <b val="true"/>
        <sz val="10"/>
        <color rgb="FF333333"/>
        <rFont val="Arial"/>
        <family val="0"/>
        <charset val="1"/>
      </rPr>
      <t xml:space="preserve">82% </t>
    </r>
    <r>
      <rPr>
        <b val="true"/>
        <sz val="10"/>
        <color rgb="FF333333"/>
        <rFont val="Noto Sans CJK SC"/>
        <family val="2"/>
      </rPr>
      <t xml:space="preserve">전환 가능 금액</t>
    </r>
  </si>
  <si>
    <r>
      <rPr>
        <b val="true"/>
        <sz val="11"/>
        <color rgb="FF2E7D32"/>
        <rFont val="Arial"/>
        <family val="0"/>
        <charset val="1"/>
      </rPr>
      <t xml:space="preserve">₩6.97</t>
    </r>
    <r>
      <rPr>
        <b val="true"/>
        <sz val="11"/>
        <color rgb="FF2E7D32"/>
        <rFont val="Noto Sans CJK SC"/>
        <family val="2"/>
      </rPr>
      <t xml:space="preserve">조원</t>
    </r>
  </si>
  <si>
    <t xml:space="preserve">전환 가능 최대 시장 규모</t>
  </si>
  <si>
    <t xml:space="preserve">가입자 평균 납입금</t>
  </si>
  <si>
    <t xml:space="preserve">₩1,034,000</t>
  </si>
  <si>
    <r>
      <rPr>
        <sz val="9"/>
        <color rgb="FF757575"/>
        <rFont val="Noto Sans CJK SC"/>
        <family val="2"/>
      </rPr>
      <t xml:space="preserve">총잔액 </t>
    </r>
    <r>
      <rPr>
        <sz val="9"/>
        <color rgb="FF757575"/>
        <rFont val="Arial"/>
        <family val="0"/>
        <charset val="1"/>
      </rPr>
      <t xml:space="preserve">÷ </t>
    </r>
    <r>
      <rPr>
        <sz val="9"/>
        <color rgb="FF757575"/>
        <rFont val="Noto Sans CJK SC"/>
        <family val="2"/>
      </rPr>
      <t xml:space="preserve">가입자 수</t>
    </r>
  </si>
  <si>
    <t xml:space="preserve">크루즈 전환 예상</t>
  </si>
  <si>
    <t xml:space="preserve">15~25%</t>
  </si>
  <si>
    <r>
      <rPr>
        <sz val="9"/>
        <color rgb="FF757575"/>
        <rFont val="Noto Sans CJK SC"/>
        <family val="2"/>
      </rPr>
      <t xml:space="preserve">호주 </t>
    </r>
    <r>
      <rPr>
        <sz val="9"/>
        <color rgb="FF757575"/>
        <rFont val="Arial"/>
        <family val="0"/>
        <charset val="1"/>
      </rPr>
      <t xml:space="preserve">34% </t>
    </r>
    <r>
      <rPr>
        <sz val="9"/>
        <color rgb="FF757575"/>
        <rFont val="Noto Sans CJK SC"/>
        <family val="2"/>
      </rPr>
      <t xml:space="preserve">대비 보수적 추정</t>
    </r>
  </si>
  <si>
    <t xml:space="preserve">크루즈 가능 시장</t>
  </si>
  <si>
    <r>
      <rPr>
        <b val="true"/>
        <sz val="11"/>
        <color rgb="FF2E7D32"/>
        <rFont val="Arial"/>
        <family val="0"/>
        <charset val="1"/>
      </rPr>
      <t xml:space="preserve">₩1.05~1.74</t>
    </r>
    <r>
      <rPr>
        <b val="true"/>
        <sz val="11"/>
        <color rgb="FF2E7D32"/>
        <rFont val="Noto Sans CJK SC"/>
        <family val="2"/>
      </rPr>
      <t xml:space="preserve">조</t>
    </r>
  </si>
  <si>
    <t xml:space="preserve">★ 영업 기회 규모</t>
  </si>
  <si>
    <r>
      <rPr>
        <b val="true"/>
        <sz val="11"/>
        <color rgb="FFFFFFFF"/>
        <rFont val="Arial"/>
        <family val="0"/>
        <charset val="1"/>
      </rPr>
      <t xml:space="preserve">[ </t>
    </r>
    <r>
      <rPr>
        <b val="true"/>
        <sz val="11"/>
        <color rgb="FFFFFFFF"/>
        <rFont val="Noto Sans CJK SC"/>
        <family val="2"/>
      </rPr>
      <t xml:space="preserve">영업사원별 상조전환 수익 시뮬레이션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월간</t>
    </r>
    <r>
      <rPr>
        <b val="true"/>
        <sz val="11"/>
        <color rgb="FFFFFFFF"/>
        <rFont val="Arial"/>
        <family val="0"/>
        <charset val="1"/>
      </rPr>
      <t xml:space="preserve">) ]</t>
    </r>
  </si>
  <si>
    <t xml:space="preserve">월접촉수</t>
  </si>
  <si>
    <t xml:space="preserve">전환율</t>
  </si>
  <si>
    <t xml:space="preserve">전환건수</t>
  </si>
  <si>
    <t xml:space="preserve">평균납입금</t>
  </si>
  <si>
    <t xml:space="preserve">월순수익</t>
  </si>
  <si>
    <r>
      <rPr>
        <sz val="10"/>
        <color rgb="FF333333"/>
        <rFont val="Noto Sans CJK SC"/>
        <family val="2"/>
      </rPr>
      <t xml:space="preserve">신입 </t>
    </r>
    <r>
      <rPr>
        <sz val="10"/>
        <color rgb="FF333333"/>
        <rFont val="Arial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개월</t>
    </r>
  </si>
  <si>
    <r>
      <rPr>
        <sz val="10"/>
        <color rgb="FF333333"/>
        <rFont val="Noto Sans CJK SC"/>
        <family val="2"/>
      </rPr>
      <t xml:space="preserve">초급 </t>
    </r>
    <r>
      <rPr>
        <sz val="10"/>
        <color rgb="FF333333"/>
        <rFont val="Arial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개월</t>
    </r>
  </si>
  <si>
    <r>
      <rPr>
        <sz val="10"/>
        <color rgb="FF333333"/>
        <rFont val="Noto Sans CJK SC"/>
        <family val="2"/>
      </rPr>
      <t xml:space="preserve">중급 </t>
    </r>
    <r>
      <rPr>
        <sz val="10"/>
        <color rgb="FF333333"/>
        <rFont val="Arial"/>
        <family val="0"/>
        <charset val="1"/>
      </rPr>
      <t xml:space="preserve">6</t>
    </r>
    <r>
      <rPr>
        <sz val="10"/>
        <color rgb="FF333333"/>
        <rFont val="Noto Sans CJK SC"/>
        <family val="2"/>
      </rPr>
      <t xml:space="preserve">개월</t>
    </r>
  </si>
  <si>
    <r>
      <rPr>
        <sz val="10"/>
        <color rgb="FF333333"/>
        <rFont val="Noto Sans CJK SC"/>
        <family val="2"/>
      </rPr>
      <t xml:space="preserve">고급 </t>
    </r>
    <r>
      <rPr>
        <sz val="10"/>
        <color rgb="FF333333"/>
        <rFont val="Arial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년</t>
    </r>
  </si>
  <si>
    <r>
      <rPr>
        <b val="true"/>
        <sz val="10"/>
        <color rgb="FF333333"/>
        <rFont val="Noto Sans CJK SC"/>
        <family val="2"/>
      </rPr>
      <t xml:space="preserve">★스타 </t>
    </r>
    <r>
      <rPr>
        <b val="true"/>
        <sz val="10"/>
        <color rgb="FF333333"/>
        <rFont val="Arial"/>
        <family val="0"/>
        <charset val="1"/>
      </rPr>
      <t xml:space="preserve">2</t>
    </r>
    <r>
      <rPr>
        <b val="true"/>
        <sz val="10"/>
        <color rgb="FF333333"/>
        <rFont val="Noto Sans CJK SC"/>
        <family val="2"/>
      </rPr>
      <t xml:space="preserve">년</t>
    </r>
    <r>
      <rPr>
        <b val="true"/>
        <sz val="10"/>
        <color rgb="FF333333"/>
        <rFont val="Arial"/>
        <family val="0"/>
        <charset val="1"/>
      </rPr>
      <t xml:space="preserve">+</t>
    </r>
  </si>
  <si>
    <r>
      <rPr>
        <b val="true"/>
        <sz val="11"/>
        <color rgb="FFFFFFFF"/>
        <rFont val="Arial"/>
        <family val="0"/>
        <charset val="1"/>
      </rPr>
      <t xml:space="preserve">[ </t>
    </r>
    <r>
      <rPr>
        <b val="true"/>
        <sz val="11"/>
        <color rgb="FFFFFFFF"/>
        <rFont val="Noto Sans CJK SC"/>
        <family val="2"/>
      </rPr>
      <t xml:space="preserve">영업사원 수익 성장 로드맵 </t>
    </r>
    <r>
      <rPr>
        <b val="true"/>
        <sz val="11"/>
        <color rgb="FFFFFFFF"/>
        <rFont val="Arial"/>
        <family val="0"/>
        <charset val="1"/>
      </rPr>
      <t xml:space="preserve">(12</t>
    </r>
    <r>
      <rPr>
        <b val="true"/>
        <sz val="11"/>
        <color rgb="FFFFFFFF"/>
        <rFont val="Noto Sans CJK SC"/>
        <family val="2"/>
      </rPr>
      <t xml:space="preserve">개월</t>
    </r>
    <r>
      <rPr>
        <b val="true"/>
        <sz val="11"/>
        <color rgb="FFFFFFFF"/>
        <rFont val="Arial"/>
        <family val="0"/>
        <charset val="1"/>
      </rPr>
      <t xml:space="preserve">) ]</t>
    </r>
  </si>
  <si>
    <t xml:space="preserve">항목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</si>
  <si>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</si>
  <si>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</si>
  <si>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</si>
  <si>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</si>
  <si>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</si>
  <si>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</si>
  <si>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</si>
  <si>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</si>
  <si>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</si>
  <si>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</si>
  <si>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</si>
  <si>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SC"/>
        <family val="2"/>
      </rPr>
      <t xml:space="preserve">월</t>
    </r>
  </si>
  <si>
    <t xml:space="preserve">연합계</t>
  </si>
  <si>
    <r>
      <rPr>
        <sz val="10"/>
        <color rgb="FF333333"/>
        <rFont val="Arial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박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건</t>
    </r>
    <r>
      <rPr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</si>
  <si>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Arial"/>
        <family val="0"/>
        <charset val="1"/>
      </rPr>
      <t xml:space="preserve">8</t>
    </r>
    <r>
      <rPr>
        <sz val="10"/>
        <color rgb="FF333333"/>
        <rFont val="Noto Sans CJK SC"/>
        <family val="2"/>
      </rPr>
      <t xml:space="preserve">박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건</t>
    </r>
    <r>
      <rPr>
        <sz val="10"/>
        <color rgb="FF333333"/>
        <rFont val="Arial"/>
        <family val="0"/>
        <charset val="1"/>
      </rPr>
      <t xml:space="preserve">)</t>
    </r>
  </si>
  <si>
    <t xml:space="preserve">상조전환</t>
  </si>
  <si>
    <t xml:space="preserve">월수익</t>
  </si>
  <si>
    <r>
      <rPr>
        <b val="true"/>
        <sz val="17"/>
        <color rgb="FFFFFFFF"/>
        <rFont val="Noto Sans CJK SC"/>
        <family val="2"/>
      </rPr>
      <t xml:space="preserve">🎯  나의 수익 시뮬레이터  —  내가 팔면 얼마나 벌 수 있을까</t>
    </r>
    <r>
      <rPr>
        <b val="true"/>
        <sz val="17"/>
        <color rgb="FFFFFFFF"/>
        <rFont val="Arial"/>
        <family val="0"/>
        <charset val="1"/>
      </rPr>
      <t xml:space="preserve">?</t>
    </r>
  </si>
  <si>
    <r>
      <rPr>
        <sz val="11"/>
        <color rgb="FF1B3A6B"/>
        <rFont val="Noto Sans CJK SC"/>
        <family val="2"/>
      </rPr>
      <t xml:space="preserve">💡  파란색 셀 숫자를 직접 바꿔보세요</t>
    </r>
    <r>
      <rPr>
        <sz val="11"/>
        <color rgb="FF1B3A6B"/>
        <rFont val="Arial"/>
        <family val="0"/>
        <charset val="1"/>
      </rPr>
      <t xml:space="preserve">!  →  </t>
    </r>
    <r>
      <rPr>
        <sz val="11"/>
        <color rgb="FF1B3A6B"/>
        <rFont val="Noto Sans CJK SC"/>
        <family val="2"/>
      </rPr>
      <t xml:space="preserve">수익이 자동 계산됩니다</t>
    </r>
  </si>
  <si>
    <t xml:space="preserve">📥  나의 월간 판매 입력</t>
  </si>
  <si>
    <r>
      <rPr>
        <b val="true"/>
        <sz val="11"/>
        <color rgb="FF333333"/>
        <rFont val="Noto Sans CJK SC"/>
        <family val="2"/>
      </rPr>
      <t xml:space="preserve">크루즈 </t>
    </r>
    <r>
      <rPr>
        <b val="true"/>
        <sz val="11"/>
        <color rgb="FF333333"/>
        <rFont val="Arial"/>
        <family val="0"/>
        <charset val="1"/>
      </rPr>
      <t xml:space="preserve">4</t>
    </r>
    <r>
      <rPr>
        <b val="true"/>
        <sz val="11"/>
        <color rgb="FF333333"/>
        <rFont val="Noto Sans CJK SC"/>
        <family val="2"/>
      </rPr>
      <t xml:space="preserve">박 판매 건수</t>
    </r>
  </si>
  <si>
    <t xml:space="preserve">건</t>
  </si>
  <si>
    <r>
      <rPr>
        <b val="true"/>
        <sz val="11"/>
        <color rgb="FF333333"/>
        <rFont val="Noto Sans CJK SC"/>
        <family val="2"/>
      </rPr>
      <t xml:space="preserve">크루즈 </t>
    </r>
    <r>
      <rPr>
        <b val="true"/>
        <sz val="11"/>
        <color rgb="FF333333"/>
        <rFont val="Arial"/>
        <family val="0"/>
        <charset val="1"/>
      </rPr>
      <t xml:space="preserve">8</t>
    </r>
    <r>
      <rPr>
        <b val="true"/>
        <sz val="11"/>
        <color rgb="FF333333"/>
        <rFont val="Noto Sans CJK SC"/>
        <family val="2"/>
      </rPr>
      <t xml:space="preserve">박 판매 건수</t>
    </r>
  </si>
  <si>
    <t xml:space="preserve">마이리얼트립 월 판매액</t>
  </si>
  <si>
    <t xml:space="preserve">원</t>
  </si>
  <si>
    <t xml:space="preserve">아고다 호텔 월 판매액</t>
  </si>
  <si>
    <r>
      <rPr>
        <b val="true"/>
        <sz val="11"/>
        <color rgb="FF333333"/>
        <rFont val="Arial"/>
        <family val="0"/>
        <charset val="1"/>
      </rPr>
      <t xml:space="preserve">Viator </t>
    </r>
    <r>
      <rPr>
        <b val="true"/>
        <sz val="11"/>
        <color rgb="FF333333"/>
        <rFont val="Noto Sans CJK SC"/>
        <family val="2"/>
      </rPr>
      <t xml:space="preserve">월 판매액</t>
    </r>
  </si>
  <si>
    <r>
      <rPr>
        <b val="true"/>
        <sz val="11"/>
        <color rgb="FF333333"/>
        <rFont val="Arial"/>
        <family val="0"/>
        <charset val="1"/>
      </rPr>
      <t xml:space="preserve">Klook </t>
    </r>
    <r>
      <rPr>
        <b val="true"/>
        <sz val="11"/>
        <color rgb="FF333333"/>
        <rFont val="Noto Sans CJK SC"/>
        <family val="2"/>
      </rPr>
      <t xml:space="preserve">월 판매액</t>
    </r>
  </si>
  <si>
    <t xml:space="preserve">쿠팡여행 월 판매액</t>
  </si>
  <si>
    <t xml:space="preserve">상조전환 건수</t>
  </si>
  <si>
    <t xml:space="preserve">상조 고객 평균 납입금</t>
  </si>
  <si>
    <t xml:space="preserve">💵  예상 월간 수익</t>
  </si>
  <si>
    <t xml:space="preserve">계산 기준</t>
  </si>
  <si>
    <t xml:space="preserve">예상 수익</t>
  </si>
  <si>
    <r>
      <rPr>
        <sz val="11"/>
        <color rgb="FF333333"/>
        <rFont val="Noto Sans CJK SC"/>
        <family val="2"/>
      </rPr>
      <t xml:space="preserve">크루즈 </t>
    </r>
    <r>
      <rPr>
        <sz val="11"/>
        <color rgb="FF333333"/>
        <rFont val="Arial"/>
        <family val="0"/>
        <charset val="1"/>
      </rPr>
      <t xml:space="preserve">4</t>
    </r>
    <r>
      <rPr>
        <sz val="11"/>
        <color rgb="FF333333"/>
        <rFont val="Noto Sans CJK SC"/>
        <family val="2"/>
      </rPr>
      <t xml:space="preserve">박 수수료</t>
    </r>
  </si>
  <si>
    <r>
      <rPr>
        <sz val="10"/>
        <color rgb="FF757575"/>
        <rFont val="Noto Sans CJK SC"/>
        <family val="2"/>
      </rPr>
      <t xml:space="preserve">건수 </t>
    </r>
    <r>
      <rPr>
        <sz val="10"/>
        <color rgb="FF757575"/>
        <rFont val="Arial"/>
        <family val="0"/>
        <charset val="1"/>
      </rPr>
      <t xml:space="preserve">× ₩32,000</t>
    </r>
  </si>
  <si>
    <r>
      <rPr>
        <sz val="11"/>
        <color rgb="FF333333"/>
        <rFont val="Noto Sans CJK SC"/>
        <family val="2"/>
      </rPr>
      <t xml:space="preserve">크루즈 </t>
    </r>
    <r>
      <rPr>
        <sz val="11"/>
        <color rgb="FF333333"/>
        <rFont val="Arial"/>
        <family val="0"/>
        <charset val="1"/>
      </rPr>
      <t xml:space="preserve">8</t>
    </r>
    <r>
      <rPr>
        <sz val="11"/>
        <color rgb="FF333333"/>
        <rFont val="Noto Sans CJK SC"/>
        <family val="2"/>
      </rPr>
      <t xml:space="preserve">박 수수료</t>
    </r>
  </si>
  <si>
    <r>
      <rPr>
        <sz val="10"/>
        <color rgb="FF757575"/>
        <rFont val="Noto Sans CJK SC"/>
        <family val="2"/>
      </rPr>
      <t xml:space="preserve">건수 </t>
    </r>
    <r>
      <rPr>
        <sz val="10"/>
        <color rgb="FF757575"/>
        <rFont val="Arial"/>
        <family val="0"/>
        <charset val="1"/>
      </rPr>
      <t xml:space="preserve">× ₩64,000</t>
    </r>
  </si>
  <si>
    <t xml:space="preserve">마이리얼트립 수수료</t>
  </si>
  <si>
    <r>
      <rPr>
        <sz val="10"/>
        <color rgb="FF757575"/>
        <rFont val="Noto Sans CJK SC"/>
        <family val="2"/>
      </rPr>
      <t xml:space="preserve">판매액 </t>
    </r>
    <r>
      <rPr>
        <sz val="10"/>
        <color rgb="FF757575"/>
        <rFont val="Arial"/>
        <family val="0"/>
        <charset val="1"/>
      </rPr>
      <t xml:space="preserve">× 10%</t>
    </r>
  </si>
  <si>
    <t xml:space="preserve">아고다 수수료</t>
  </si>
  <si>
    <r>
      <rPr>
        <sz val="10"/>
        <color rgb="FF757575"/>
        <rFont val="Noto Sans CJK SC"/>
        <family val="2"/>
      </rPr>
      <t xml:space="preserve">판매액 </t>
    </r>
    <r>
      <rPr>
        <sz val="10"/>
        <color rgb="FF757575"/>
        <rFont val="Arial"/>
        <family val="0"/>
        <charset val="1"/>
      </rPr>
      <t xml:space="preserve">× 6%</t>
    </r>
  </si>
  <si>
    <r>
      <rPr>
        <sz val="11"/>
        <color rgb="FF333333"/>
        <rFont val="Arial"/>
        <family val="0"/>
        <charset val="1"/>
      </rPr>
      <t xml:space="preserve">Viator </t>
    </r>
    <r>
      <rPr>
        <sz val="11"/>
        <color rgb="FF333333"/>
        <rFont val="Noto Sans CJK SC"/>
        <family val="2"/>
      </rPr>
      <t xml:space="preserve">수수료</t>
    </r>
  </si>
  <si>
    <r>
      <rPr>
        <sz val="11"/>
        <color rgb="FF333333"/>
        <rFont val="Arial"/>
        <family val="0"/>
        <charset val="1"/>
      </rPr>
      <t xml:space="preserve">Klook </t>
    </r>
    <r>
      <rPr>
        <sz val="11"/>
        <color rgb="FF333333"/>
        <rFont val="Noto Sans CJK SC"/>
        <family val="2"/>
      </rPr>
      <t xml:space="preserve">수수료</t>
    </r>
  </si>
  <si>
    <r>
      <rPr>
        <sz val="10"/>
        <color rgb="FF757575"/>
        <rFont val="Noto Sans CJK SC"/>
        <family val="2"/>
      </rPr>
      <t xml:space="preserve">판매액 </t>
    </r>
    <r>
      <rPr>
        <sz val="10"/>
        <color rgb="FF757575"/>
        <rFont val="Arial"/>
        <family val="0"/>
        <charset val="1"/>
      </rPr>
      <t xml:space="preserve">× 8%</t>
    </r>
  </si>
  <si>
    <t xml:space="preserve">쿠팡여행 수수료</t>
  </si>
  <si>
    <r>
      <rPr>
        <sz val="10"/>
        <color rgb="FF757575"/>
        <rFont val="Noto Sans CJK SC"/>
        <family val="2"/>
      </rPr>
      <t xml:space="preserve">판매액 </t>
    </r>
    <r>
      <rPr>
        <sz val="10"/>
        <color rgb="FF757575"/>
        <rFont val="Arial"/>
        <family val="0"/>
        <charset val="1"/>
      </rPr>
      <t xml:space="preserve">× 5%</t>
    </r>
  </si>
  <si>
    <t xml:space="preserve">★ 상조전환 수수료</t>
  </si>
  <si>
    <r>
      <rPr>
        <sz val="10"/>
        <color rgb="FF757575"/>
        <rFont val="Noto Sans CJK SC"/>
        <family val="2"/>
      </rPr>
      <t xml:space="preserve">건수 </t>
    </r>
    <r>
      <rPr>
        <sz val="10"/>
        <color rgb="FF757575"/>
        <rFont val="Arial"/>
        <family val="0"/>
        <charset val="1"/>
      </rPr>
      <t xml:space="preserve">× </t>
    </r>
    <r>
      <rPr>
        <sz val="10"/>
        <color rgb="FF757575"/>
        <rFont val="Noto Sans CJK SC"/>
        <family val="2"/>
      </rPr>
      <t xml:space="preserve">납입금 </t>
    </r>
    <r>
      <rPr>
        <sz val="10"/>
        <color rgb="FF757575"/>
        <rFont val="Arial"/>
        <family val="0"/>
        <charset val="1"/>
      </rPr>
      <t xml:space="preserve">× 82% × 8%</t>
    </r>
  </si>
  <si>
    <t xml:space="preserve">🏆  월 총 수익</t>
  </si>
  <si>
    <t xml:space="preserve">📈 수익 등급</t>
  </si>
  <si>
    <t xml:space="preserve">💎 다이아몬드</t>
  </si>
  <si>
    <r>
      <rPr>
        <b val="true"/>
        <sz val="11"/>
        <color rgb="FF2E7D32"/>
        <rFont val="Arial"/>
        <family val="0"/>
        <charset val="1"/>
      </rPr>
      <t xml:space="preserve">₩10,000,000 </t>
    </r>
    <r>
      <rPr>
        <b val="true"/>
        <sz val="11"/>
        <color rgb="FF2E7D32"/>
        <rFont val="Noto Sans CJK SC"/>
        <family val="2"/>
      </rPr>
      <t xml:space="preserve">이상</t>
    </r>
  </si>
  <si>
    <r>
      <rPr>
        <sz val="10"/>
        <color rgb="FF757575"/>
        <rFont val="Noto Sans CJK SC"/>
        <family val="2"/>
      </rPr>
      <t xml:space="preserve">전국 </t>
    </r>
    <r>
      <rPr>
        <sz val="10"/>
        <color rgb="FF757575"/>
        <rFont val="Arial"/>
        <family val="0"/>
        <charset val="1"/>
      </rPr>
      <t xml:space="preserve">TOP 1% </t>
    </r>
    <r>
      <rPr>
        <sz val="10"/>
        <color rgb="FF757575"/>
        <rFont val="Noto Sans CJK SC"/>
        <family val="2"/>
      </rPr>
      <t xml:space="preserve">스타 파트너</t>
    </r>
  </si>
  <si>
    <t xml:space="preserve">🥇 골드</t>
  </si>
  <si>
    <r>
      <rPr>
        <b val="true"/>
        <sz val="11"/>
        <color rgb="FF2E7D32"/>
        <rFont val="Arial"/>
        <family val="0"/>
        <charset val="1"/>
      </rPr>
      <t xml:space="preserve">₩5,000,000 </t>
    </r>
    <r>
      <rPr>
        <b val="true"/>
        <sz val="11"/>
        <color rgb="FF2E7D32"/>
        <rFont val="Noto Sans CJK SC"/>
        <family val="2"/>
      </rPr>
      <t xml:space="preserve">이상</t>
    </r>
  </si>
  <si>
    <r>
      <rPr>
        <sz val="10"/>
        <color rgb="FF757575"/>
        <rFont val="Noto Sans CJK SC"/>
        <family val="2"/>
      </rPr>
      <t xml:space="preserve">상위 </t>
    </r>
    <r>
      <rPr>
        <sz val="10"/>
        <color rgb="FF757575"/>
        <rFont val="Arial"/>
        <family val="0"/>
        <charset val="1"/>
      </rPr>
      <t xml:space="preserve">5% </t>
    </r>
    <r>
      <rPr>
        <sz val="10"/>
        <color rgb="FF757575"/>
        <rFont val="Noto Sans CJK SC"/>
        <family val="2"/>
      </rPr>
      <t xml:space="preserve">풀타임 전문 파트너</t>
    </r>
  </si>
  <si>
    <t xml:space="preserve">🥈 실버</t>
  </si>
  <si>
    <r>
      <rPr>
        <b val="true"/>
        <sz val="11"/>
        <color rgb="FF2E7D32"/>
        <rFont val="Arial"/>
        <family val="0"/>
        <charset val="1"/>
      </rPr>
      <t xml:space="preserve">₩2,000,000 </t>
    </r>
    <r>
      <rPr>
        <b val="true"/>
        <sz val="11"/>
        <color rgb="FF2E7D32"/>
        <rFont val="Noto Sans CJK SC"/>
        <family val="2"/>
      </rPr>
      <t xml:space="preserve">이상</t>
    </r>
  </si>
  <si>
    <r>
      <rPr>
        <sz val="10"/>
        <color rgb="FF757575"/>
        <rFont val="Noto Sans CJK SC"/>
        <family val="2"/>
      </rPr>
      <t xml:space="preserve">상위 </t>
    </r>
    <r>
      <rPr>
        <sz val="10"/>
        <color rgb="FF757575"/>
        <rFont val="Arial"/>
        <family val="0"/>
        <charset val="1"/>
      </rPr>
      <t xml:space="preserve">20% </t>
    </r>
    <r>
      <rPr>
        <sz val="10"/>
        <color rgb="FF757575"/>
        <rFont val="Noto Sans CJK SC"/>
        <family val="2"/>
      </rPr>
      <t xml:space="preserve">성장 파트너</t>
    </r>
  </si>
  <si>
    <t xml:space="preserve">🥉 브론즈</t>
  </si>
  <si>
    <r>
      <rPr>
        <b val="true"/>
        <sz val="11"/>
        <color rgb="FF2E7D32"/>
        <rFont val="Arial"/>
        <family val="0"/>
        <charset val="1"/>
      </rPr>
      <t xml:space="preserve">₩500,000 </t>
    </r>
    <r>
      <rPr>
        <b val="true"/>
        <sz val="11"/>
        <color rgb="FF2E7D32"/>
        <rFont val="Noto Sans CJK SC"/>
        <family val="2"/>
      </rPr>
      <t xml:space="preserve">이상</t>
    </r>
  </si>
  <si>
    <t xml:space="preserve">부업으로 달성 가능한 목표</t>
  </si>
  <si>
    <t xml:space="preserve">🌱 새싹</t>
  </si>
  <si>
    <t xml:space="preserve">첫 판매 달성</t>
  </si>
  <si>
    <r>
      <rPr>
        <sz val="10"/>
        <color rgb="FF757575"/>
        <rFont val="Noto Sans CJK SC"/>
        <family val="2"/>
      </rPr>
      <t xml:space="preserve">시작이 반</t>
    </r>
    <r>
      <rPr>
        <sz val="10"/>
        <color rgb="FF757575"/>
        <rFont val="Arial"/>
        <family val="0"/>
        <charset val="1"/>
      </rPr>
      <t xml:space="preserve">! </t>
    </r>
    <r>
      <rPr>
        <sz val="10"/>
        <color rgb="FF757575"/>
        <rFont val="Noto Sans CJK SC"/>
        <family val="2"/>
      </rPr>
      <t xml:space="preserve">지금 바로 도전</t>
    </r>
  </si>
  <si>
    <r>
      <rPr>
        <b val="true"/>
        <sz val="14"/>
        <color rgb="FFFFFFFF"/>
        <rFont val="Noto Sans CJK SC"/>
        <family val="2"/>
      </rPr>
      <t xml:space="preserve">📣  크루즈</t>
    </r>
    <r>
      <rPr>
        <b val="true"/>
        <sz val="14"/>
        <color rgb="FFFFFFFF"/>
        <rFont val="Arial"/>
        <family val="0"/>
        <charset val="1"/>
      </rPr>
      <t xml:space="preserve">×</t>
    </r>
    <r>
      <rPr>
        <b val="true"/>
        <sz val="14"/>
        <color rgb="FFFFFFFF"/>
        <rFont val="Noto Sans CJK SC"/>
        <family val="2"/>
      </rPr>
      <t xml:space="preserve">상조</t>
    </r>
    <r>
      <rPr>
        <b val="true"/>
        <sz val="14"/>
        <color rgb="FFFFFFFF"/>
        <rFont val="Arial"/>
        <family val="0"/>
        <charset val="1"/>
      </rPr>
      <t xml:space="preserve">×</t>
    </r>
    <r>
      <rPr>
        <b val="true"/>
        <sz val="14"/>
        <color rgb="FFFFFFFF"/>
        <rFont val="Noto Sans CJK SC"/>
        <family val="2"/>
      </rPr>
      <t xml:space="preserve">여행제휴 마케팅 전략 </t>
    </r>
    <r>
      <rPr>
        <b val="true"/>
        <sz val="14"/>
        <color rgb="FFFFFFFF"/>
        <rFont val="Arial"/>
        <family val="0"/>
        <charset val="1"/>
      </rPr>
      <t xml:space="preserve">&amp; </t>
    </r>
    <r>
      <rPr>
        <b val="true"/>
        <sz val="14"/>
        <color rgb="FFFFFFFF"/>
        <rFont val="Noto Sans CJK SC"/>
        <family val="2"/>
      </rPr>
      <t xml:space="preserve">시장 전망</t>
    </r>
  </si>
  <si>
    <r>
      <rPr>
        <b val="true"/>
        <sz val="12"/>
        <color rgb="FFFFFFFF"/>
        <rFont val="Noto Sans CJK SC"/>
        <family val="2"/>
      </rPr>
      <t xml:space="preserve">🎯 핵심 마케팅 포인트 </t>
    </r>
    <r>
      <rPr>
        <b val="true"/>
        <sz val="12"/>
        <color rgb="FFFFFFFF"/>
        <rFont val="Arial"/>
        <family val="0"/>
        <charset val="1"/>
      </rPr>
      <t xml:space="preserve">&amp; </t>
    </r>
    <r>
      <rPr>
        <b val="true"/>
        <sz val="12"/>
        <color rgb="FFFFFFFF"/>
        <rFont val="Noto Sans CJK SC"/>
        <family val="2"/>
      </rPr>
      <t xml:space="preserve">영업 스크립트</t>
    </r>
  </si>
  <si>
    <t xml:space="preserve">포인트</t>
  </si>
  <si>
    <t xml:space="preserve">핵심 메시지</t>
  </si>
  <si>
    <t xml:space="preserve">영업 활용법</t>
  </si>
  <si>
    <t xml:space="preserve">① 기존 자산 활용</t>
  </si>
  <si>
    <r>
      <rPr>
        <sz val="10"/>
        <color rgb="FF333333"/>
        <rFont val="Arial"/>
        <family val="0"/>
        <charset val="1"/>
      </rPr>
      <t xml:space="preserve">"</t>
    </r>
    <r>
      <rPr>
        <sz val="10"/>
        <color rgb="FF333333"/>
        <rFont val="Noto Sans CJK SC"/>
        <family val="2"/>
      </rPr>
      <t xml:space="preserve">이미 납입한 돈으로 여행을</t>
    </r>
    <r>
      <rPr>
        <sz val="10"/>
        <color rgb="FF333333"/>
        <rFont val="Arial"/>
        <family val="0"/>
        <charset val="1"/>
      </rPr>
      <t xml:space="preserve">"
</t>
    </r>
    <r>
      <rPr>
        <sz val="10"/>
        <color rgb="FF333333"/>
        <rFont val="Noto Sans CJK SC"/>
        <family val="2"/>
      </rPr>
      <t xml:space="preserve">새 지출이 아닌 자산 전환</t>
    </r>
  </si>
  <si>
    <r>
      <rPr>
        <sz val="10"/>
        <color rgb="FF444444"/>
        <rFont val="Noto Sans CJK SC"/>
        <family val="2"/>
      </rPr>
      <t xml:space="preserve">첫 상담 시 납입금 확인 후 </t>
    </r>
    <r>
      <rPr>
        <sz val="10"/>
        <color rgb="FF444444"/>
        <rFont val="Arial"/>
        <family val="0"/>
        <charset val="1"/>
      </rPr>
      <t xml:space="preserve">82% </t>
    </r>
    <r>
      <rPr>
        <sz val="10"/>
        <color rgb="FF444444"/>
        <rFont val="Noto Sans CJK SC"/>
        <family val="2"/>
      </rPr>
      <t xml:space="preserve">계산 즉시 보여주기</t>
    </r>
  </si>
  <si>
    <t xml:space="preserve">② 프리미엄 경험</t>
  </si>
  <si>
    <r>
      <rPr>
        <sz val="10"/>
        <color rgb="FF333333"/>
        <rFont val="Arial"/>
        <family val="0"/>
        <charset val="1"/>
      </rPr>
      <t xml:space="preserve">"</t>
    </r>
    <r>
      <rPr>
        <sz val="10"/>
        <color rgb="FF333333"/>
        <rFont val="Noto Sans CJK SC"/>
        <family val="2"/>
      </rPr>
      <t xml:space="preserve">항공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Noto Sans CJK SC"/>
        <family val="2"/>
      </rPr>
      <t xml:space="preserve">호텔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Noto Sans CJK SC"/>
        <family val="2"/>
      </rPr>
      <t xml:space="preserve">식사 모두 포함</t>
    </r>
    <r>
      <rPr>
        <sz val="10"/>
        <color rgb="FF333333"/>
        <rFont val="Arial"/>
        <family val="0"/>
        <charset val="1"/>
      </rPr>
      <t xml:space="preserve">"
</t>
    </r>
    <r>
      <rPr>
        <sz val="10"/>
        <color rgb="FF333333"/>
        <rFont val="Noto Sans CJK SC"/>
        <family val="2"/>
      </rPr>
      <t xml:space="preserve">복잡하지 않은 올인원 여행</t>
    </r>
  </si>
  <si>
    <r>
      <rPr>
        <sz val="10"/>
        <color rgb="FF444444"/>
        <rFont val="Noto Sans CJK SC"/>
        <family val="2"/>
      </rPr>
      <t xml:space="preserve">크루즈 </t>
    </r>
    <r>
      <rPr>
        <sz val="10"/>
        <color rgb="FF444444"/>
        <rFont val="Arial"/>
        <family val="0"/>
        <charset val="1"/>
      </rPr>
      <t xml:space="preserve">vs </t>
    </r>
    <r>
      <rPr>
        <sz val="10"/>
        <color rgb="FF444444"/>
        <rFont val="Noto Sans CJK SC"/>
        <family val="2"/>
      </rPr>
      <t xml:space="preserve">개별 여행 비용 비교표 제시</t>
    </r>
  </si>
  <si>
    <t xml:space="preserve">③ 시니어 최적화</t>
  </si>
  <si>
    <r>
      <rPr>
        <sz val="10"/>
        <color rgb="FF333333"/>
        <rFont val="Arial"/>
        <family val="0"/>
        <charset val="1"/>
      </rPr>
      <t xml:space="preserve">50~70</t>
    </r>
    <r>
      <rPr>
        <sz val="10"/>
        <color rgb="FF333333"/>
        <rFont val="Noto Sans CJK SC"/>
        <family val="2"/>
      </rPr>
      <t xml:space="preserve">대 상조회원 </t>
    </r>
    <r>
      <rPr>
        <sz val="10"/>
        <color rgb="FF333333"/>
        <rFont val="Arial"/>
        <family val="0"/>
        <charset val="1"/>
      </rPr>
      <t xml:space="preserve">= </t>
    </r>
    <r>
      <rPr>
        <sz val="10"/>
        <color rgb="FF333333"/>
        <rFont val="Noto Sans CJK SC"/>
        <family val="2"/>
      </rPr>
      <t xml:space="preserve">크루즈 핵심 고객
건강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Noto Sans CJK SC"/>
        <family val="2"/>
      </rPr>
      <t xml:space="preserve">안전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Noto Sans CJK SC"/>
        <family val="2"/>
      </rPr>
      <t xml:space="preserve">편의 </t>
    </r>
    <r>
      <rPr>
        <sz val="10"/>
        <color rgb="FF333333"/>
        <rFont val="Arial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박자</t>
    </r>
  </si>
  <si>
    <r>
      <rPr>
        <sz val="10"/>
        <color rgb="FF444444"/>
        <rFont val="Noto Sans CJK SC"/>
        <family val="2"/>
      </rPr>
      <t xml:space="preserve">의료진 동승</t>
    </r>
    <r>
      <rPr>
        <sz val="10"/>
        <color rgb="FF444444"/>
        <rFont val="Arial"/>
        <family val="0"/>
        <charset val="1"/>
      </rPr>
      <t xml:space="preserve">, 24</t>
    </r>
    <r>
      <rPr>
        <sz val="10"/>
        <color rgb="FF444444"/>
        <rFont val="Noto Sans CJK SC"/>
        <family val="2"/>
      </rPr>
      <t xml:space="preserve">시간 서비스</t>
    </r>
    <r>
      <rPr>
        <sz val="10"/>
        <color rgb="FF444444"/>
        <rFont val="Arial"/>
        <family val="0"/>
        <charset val="1"/>
      </rPr>
      <t xml:space="preserve">, </t>
    </r>
    <r>
      <rPr>
        <sz val="10"/>
        <color rgb="FF444444"/>
        <rFont val="Noto Sans CJK SC"/>
        <family val="2"/>
      </rPr>
      <t xml:space="preserve">다국어 지원 강조</t>
    </r>
  </si>
  <si>
    <t xml:space="preserve">④ 소셜프루프</t>
  </si>
  <si>
    <r>
      <rPr>
        <sz val="10"/>
        <color rgb="FF333333"/>
        <rFont val="Arial"/>
        <family val="0"/>
        <charset val="1"/>
      </rPr>
      <t xml:space="preserve">"</t>
    </r>
    <r>
      <rPr>
        <sz val="10"/>
        <color rgb="FF333333"/>
        <rFont val="Noto Sans CJK SC"/>
        <family val="2"/>
      </rPr>
      <t xml:space="preserve">이미 전환하신 고객 후기</t>
    </r>
    <r>
      <rPr>
        <sz val="10"/>
        <color rgb="FF333333"/>
        <rFont val="Arial"/>
        <family val="0"/>
        <charset val="1"/>
      </rPr>
      <t xml:space="preserve">"
</t>
    </r>
    <r>
      <rPr>
        <sz val="10"/>
        <color rgb="FF333333"/>
        <rFont val="Noto Sans CJK SC"/>
        <family val="2"/>
      </rPr>
      <t xml:space="preserve">실제 사례로 신뢰 구축</t>
    </r>
  </si>
  <si>
    <r>
      <rPr>
        <sz val="10"/>
        <color rgb="FF444444"/>
        <rFont val="Noto Sans CJK SC"/>
        <family val="2"/>
      </rPr>
      <t xml:space="preserve">전환 고객 사례집</t>
    </r>
    <r>
      <rPr>
        <sz val="10"/>
        <color rgb="FF444444"/>
        <rFont val="Arial"/>
        <family val="0"/>
        <charset val="1"/>
      </rPr>
      <t xml:space="preserve">, </t>
    </r>
    <r>
      <rPr>
        <sz val="10"/>
        <color rgb="FF444444"/>
        <rFont val="Noto Sans CJK SC"/>
        <family val="2"/>
      </rPr>
      <t xml:space="preserve">후기 사진</t>
    </r>
    <r>
      <rPr>
        <sz val="10"/>
        <color rgb="FF444444"/>
        <rFont val="Arial"/>
        <family val="0"/>
        <charset val="1"/>
      </rPr>
      <t xml:space="preserve">, </t>
    </r>
    <r>
      <rPr>
        <sz val="10"/>
        <color rgb="FF444444"/>
        <rFont val="Noto Sans CJK SC"/>
        <family val="2"/>
      </rPr>
      <t xml:space="preserve">영상 활용</t>
    </r>
  </si>
  <si>
    <t xml:space="preserve">⑤ 한정 혜택</t>
  </si>
  <si>
    <r>
      <rPr>
        <sz val="10"/>
        <color rgb="FF333333"/>
        <rFont val="Arial"/>
        <family val="0"/>
        <charset val="1"/>
      </rPr>
      <t xml:space="preserve">"</t>
    </r>
    <r>
      <rPr>
        <sz val="10"/>
        <color rgb="FF333333"/>
        <rFont val="Noto Sans CJK SC"/>
        <family val="2"/>
      </rPr>
      <t xml:space="preserve">이번 시즌 </t>
    </r>
    <r>
      <rPr>
        <sz val="10"/>
        <color rgb="FF333333"/>
        <rFont val="Arial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박 특가 ₩</t>
    </r>
    <r>
      <rPr>
        <sz val="10"/>
        <color rgb="FF333333"/>
        <rFont val="Arial"/>
        <family val="0"/>
        <charset val="1"/>
      </rPr>
      <t xml:space="preserve">400,000"
</t>
    </r>
    <r>
      <rPr>
        <sz val="10"/>
        <color rgb="FF333333"/>
        <rFont val="Noto Sans CJK SC"/>
        <family val="2"/>
      </rPr>
      <t xml:space="preserve">조기예약 할인 강조</t>
    </r>
  </si>
  <si>
    <r>
      <rPr>
        <sz val="10"/>
        <color rgb="FF444444"/>
        <rFont val="Noto Sans CJK SC"/>
        <family val="2"/>
      </rPr>
      <t xml:space="preserve">잔여 객실 수</t>
    </r>
    <r>
      <rPr>
        <sz val="10"/>
        <color rgb="FF444444"/>
        <rFont val="Arial"/>
        <family val="0"/>
        <charset val="1"/>
      </rPr>
      <t xml:space="preserve">, </t>
    </r>
    <r>
      <rPr>
        <sz val="10"/>
        <color rgb="FF444444"/>
        <rFont val="Noto Sans CJK SC"/>
        <family val="2"/>
      </rPr>
      <t xml:space="preserve">마감일 실시간 표시</t>
    </r>
  </si>
  <si>
    <t xml:space="preserve">⑥ 업셀링</t>
  </si>
  <si>
    <r>
      <rPr>
        <sz val="10"/>
        <color rgb="FF333333"/>
        <rFont val="Arial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박 관심 고객 → </t>
    </r>
    <r>
      <rPr>
        <sz val="10"/>
        <color rgb="FF333333"/>
        <rFont val="Arial"/>
        <family val="0"/>
        <charset val="1"/>
      </rPr>
      <t xml:space="preserve">8</t>
    </r>
    <r>
      <rPr>
        <sz val="10"/>
        <color rgb="FF333333"/>
        <rFont val="Noto Sans CJK SC"/>
        <family val="2"/>
      </rPr>
      <t xml:space="preserve">박 업그레이드
객단가 </t>
    </r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배 전략</t>
    </r>
  </si>
  <si>
    <r>
      <rPr>
        <sz val="10"/>
        <color rgb="FF444444"/>
        <rFont val="Arial"/>
        <family val="0"/>
        <charset val="1"/>
      </rPr>
      <t xml:space="preserve">"₩400K</t>
    </r>
    <r>
      <rPr>
        <sz val="10"/>
        <color rgb="FF444444"/>
        <rFont val="Noto Sans CJK SC"/>
        <family val="2"/>
      </rPr>
      <t xml:space="preserve">만 더 내시면 </t>
    </r>
    <r>
      <rPr>
        <sz val="10"/>
        <color rgb="FF444444"/>
        <rFont val="Arial"/>
        <family val="0"/>
        <charset val="1"/>
      </rPr>
      <t xml:space="preserve">2</t>
    </r>
    <r>
      <rPr>
        <sz val="10"/>
        <color rgb="FF444444"/>
        <rFont val="Noto Sans CJK SC"/>
        <family val="2"/>
      </rPr>
      <t xml:space="preserve">배 더 즐기세요</t>
    </r>
    <r>
      <rPr>
        <sz val="10"/>
        <color rgb="FF444444"/>
        <rFont val="Arial"/>
        <family val="0"/>
        <charset val="1"/>
      </rPr>
      <t xml:space="preserve">"</t>
    </r>
  </si>
  <si>
    <t xml:space="preserve">⑦ 번들 제안</t>
  </si>
  <si>
    <r>
      <rPr>
        <sz val="10"/>
        <color rgb="FF333333"/>
        <rFont val="Noto Sans CJK SC"/>
        <family val="2"/>
      </rPr>
      <t xml:space="preserve">크루즈 전후 호텔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아고다</t>
    </r>
    <r>
      <rPr>
        <sz val="10"/>
        <color rgb="FF333333"/>
        <rFont val="Arial"/>
        <family val="0"/>
        <charset val="1"/>
      </rPr>
      <t xml:space="preserve">)+</t>
    </r>
    <r>
      <rPr>
        <sz val="10"/>
        <color rgb="FF333333"/>
        <rFont val="Noto Sans CJK SC"/>
        <family val="2"/>
      </rPr>
      <t xml:space="preserve">액티비티</t>
    </r>
    <r>
      <rPr>
        <sz val="10"/>
        <color rgb="FF333333"/>
        <rFont val="Arial"/>
        <family val="0"/>
        <charset val="1"/>
      </rPr>
      <t xml:space="preserve">(Viator)
</t>
    </r>
    <r>
      <rPr>
        <sz val="10"/>
        <color rgb="FF333333"/>
        <rFont val="Noto Sans CJK SC"/>
        <family val="2"/>
      </rPr>
      <t xml:space="preserve">토탈 여행 패키지</t>
    </r>
  </si>
  <si>
    <r>
      <rPr>
        <sz val="10"/>
        <color rgb="FF444444"/>
        <rFont val="Noto Sans CJK SC"/>
        <family val="2"/>
      </rPr>
      <t xml:space="preserve">출발 전날 호텔</t>
    </r>
    <r>
      <rPr>
        <sz val="10"/>
        <color rgb="FF444444"/>
        <rFont val="Arial"/>
        <family val="0"/>
        <charset val="1"/>
      </rPr>
      <t xml:space="preserve">, </t>
    </r>
    <r>
      <rPr>
        <sz val="10"/>
        <color rgb="FF444444"/>
        <rFont val="Noto Sans CJK SC"/>
        <family val="2"/>
      </rPr>
      <t xml:space="preserve">도착 후 관광 액티비티 함께 제안</t>
    </r>
  </si>
  <si>
    <t xml:space="preserve">⑧ 디지털 퍼널</t>
  </si>
  <si>
    <r>
      <rPr>
        <sz val="10"/>
        <color rgb="FF333333"/>
        <rFont val="Arial"/>
        <family val="0"/>
        <charset val="1"/>
      </rPr>
      <t xml:space="preserve">SNS→</t>
    </r>
    <r>
      <rPr>
        <sz val="10"/>
        <color rgb="FF333333"/>
        <rFont val="Noto Sans CJK SC"/>
        <family val="2"/>
      </rPr>
      <t xml:space="preserve">랜딩페이지→상담예약
</t>
    </r>
    <r>
      <rPr>
        <sz val="10"/>
        <color rgb="FF333333"/>
        <rFont val="Arial"/>
        <family val="0"/>
        <charset val="1"/>
      </rPr>
      <t xml:space="preserve">24</t>
    </r>
    <r>
      <rPr>
        <sz val="10"/>
        <color rgb="FF333333"/>
        <rFont val="Noto Sans CJK SC"/>
        <family val="2"/>
      </rPr>
      <t xml:space="preserve">시간 자동 수익</t>
    </r>
  </si>
  <si>
    <r>
      <rPr>
        <sz val="10"/>
        <color rgb="FF444444"/>
        <rFont val="Noto Sans CJK SC"/>
        <family val="2"/>
      </rPr>
      <t xml:space="preserve">카카오채널 </t>
    </r>
    <r>
      <rPr>
        <sz val="10"/>
        <color rgb="FF444444"/>
        <rFont val="Arial"/>
        <family val="0"/>
        <charset val="1"/>
      </rPr>
      <t xml:space="preserve">+ </t>
    </r>
    <r>
      <rPr>
        <sz val="10"/>
        <color rgb="FF444444"/>
        <rFont val="Noto Sans CJK SC"/>
        <family val="2"/>
      </rPr>
      <t xml:space="preserve">인스타 릴스 </t>
    </r>
    <r>
      <rPr>
        <sz val="10"/>
        <color rgb="FF444444"/>
        <rFont val="Arial"/>
        <family val="0"/>
        <charset val="1"/>
      </rPr>
      <t xml:space="preserve">+ </t>
    </r>
    <r>
      <rPr>
        <sz val="10"/>
        <color rgb="FF444444"/>
        <rFont val="Noto Sans CJK SC"/>
        <family val="2"/>
      </rPr>
      <t xml:space="preserve">유튜브 쇼츠 활용</t>
    </r>
  </si>
  <si>
    <r>
      <rPr>
        <b val="true"/>
        <sz val="12"/>
        <color rgb="FFFFFFFF"/>
        <rFont val="Noto Sans CJK SC"/>
        <family val="2"/>
      </rPr>
      <t xml:space="preserve">🔮 크루즈</t>
    </r>
    <r>
      <rPr>
        <b val="true"/>
        <sz val="12"/>
        <color rgb="FFFFFFFF"/>
        <rFont val="Arial"/>
        <family val="0"/>
        <charset val="1"/>
      </rPr>
      <t xml:space="preserve">×</t>
    </r>
    <r>
      <rPr>
        <b val="true"/>
        <sz val="12"/>
        <color rgb="FFFFFFFF"/>
        <rFont val="Noto Sans CJK SC"/>
        <family val="2"/>
      </rPr>
      <t xml:space="preserve">상조 시장 전망 </t>
    </r>
    <r>
      <rPr>
        <b val="true"/>
        <sz val="12"/>
        <color rgb="FFFFFFFF"/>
        <rFont val="Arial"/>
        <family val="0"/>
        <charset val="1"/>
      </rPr>
      <t xml:space="preserve">(2024~2030)</t>
    </r>
  </si>
  <si>
    <t xml:space="preserve">지표</t>
  </si>
  <si>
    <r>
      <rPr>
        <b val="true"/>
        <sz val="10"/>
        <color rgb="FFFFFFFF"/>
        <rFont val="Arial"/>
        <family val="0"/>
        <charset val="1"/>
      </rPr>
      <t xml:space="preserve">2024 </t>
    </r>
    <r>
      <rPr>
        <b val="true"/>
        <sz val="10"/>
        <color rgb="FFFFFFFF"/>
        <rFont val="Noto Sans CJK SC"/>
        <family val="2"/>
      </rPr>
      <t xml:space="preserve">현황</t>
    </r>
  </si>
  <si>
    <r>
      <rPr>
        <b val="true"/>
        <sz val="10"/>
        <color rgb="FFFFFFFF"/>
        <rFont val="Arial"/>
        <family val="0"/>
        <charset val="1"/>
      </rPr>
      <t xml:space="preserve">2026 </t>
    </r>
    <r>
      <rPr>
        <b val="true"/>
        <sz val="10"/>
        <color rgb="FFFFFFFF"/>
        <rFont val="Noto Sans CJK SC"/>
        <family val="2"/>
      </rPr>
      <t xml:space="preserve">예상</t>
    </r>
  </si>
  <si>
    <r>
      <rPr>
        <b val="true"/>
        <sz val="10"/>
        <color rgb="FFFFFFFF"/>
        <rFont val="Arial"/>
        <family val="0"/>
        <charset val="1"/>
      </rPr>
      <t xml:space="preserve">2028 </t>
    </r>
    <r>
      <rPr>
        <b val="true"/>
        <sz val="10"/>
        <color rgb="FFFFFFFF"/>
        <rFont val="Noto Sans CJK SC"/>
        <family val="2"/>
      </rPr>
      <t xml:space="preserve">예상</t>
    </r>
  </si>
  <si>
    <r>
      <rPr>
        <b val="true"/>
        <sz val="10"/>
        <color rgb="FFFFFFFF"/>
        <rFont val="Arial"/>
        <family val="0"/>
        <charset val="1"/>
      </rPr>
      <t xml:space="preserve">2030 </t>
    </r>
    <r>
      <rPr>
        <b val="true"/>
        <sz val="10"/>
        <color rgb="FFFFFFFF"/>
        <rFont val="Noto Sans CJK SC"/>
        <family val="2"/>
      </rPr>
      <t xml:space="preserve">목표</t>
    </r>
  </si>
  <si>
    <t xml:space="preserve">한국 크루즈 이용객</t>
  </si>
  <si>
    <r>
      <rPr>
        <sz val="10"/>
        <color rgb="FF333333"/>
        <rFont val="Arial"/>
        <family val="0"/>
        <charset val="1"/>
      </rPr>
      <t xml:space="preserve">120</t>
    </r>
    <r>
      <rPr>
        <sz val="10"/>
        <color rgb="FF333333"/>
        <rFont val="Noto Sans CJK SC"/>
        <family val="2"/>
      </rPr>
      <t xml:space="preserve">만명</t>
    </r>
  </si>
  <si>
    <r>
      <rPr>
        <sz val="10"/>
        <color rgb="FF333333"/>
        <rFont val="Arial"/>
        <family val="0"/>
        <charset val="1"/>
      </rPr>
      <t xml:space="preserve">185</t>
    </r>
    <r>
      <rPr>
        <sz val="10"/>
        <color rgb="FF333333"/>
        <rFont val="Noto Sans CJK SC"/>
        <family val="2"/>
      </rPr>
      <t xml:space="preserve">만명</t>
    </r>
  </si>
  <si>
    <r>
      <rPr>
        <sz val="10"/>
        <color rgb="FF333333"/>
        <rFont val="Arial"/>
        <family val="0"/>
        <charset val="1"/>
      </rPr>
      <t xml:space="preserve">270</t>
    </r>
    <r>
      <rPr>
        <sz val="10"/>
        <color rgb="FF333333"/>
        <rFont val="Noto Sans CJK SC"/>
        <family val="2"/>
      </rPr>
      <t xml:space="preserve">만명</t>
    </r>
  </si>
  <si>
    <r>
      <rPr>
        <b val="true"/>
        <sz val="10"/>
        <color rgb="FF2E7D32"/>
        <rFont val="Arial"/>
        <family val="0"/>
        <charset val="1"/>
      </rPr>
      <t xml:space="preserve">420</t>
    </r>
    <r>
      <rPr>
        <b val="true"/>
        <sz val="10"/>
        <color rgb="FF2E7D32"/>
        <rFont val="Noto Sans CJK SC"/>
        <family val="2"/>
      </rPr>
      <t xml:space="preserve">만명</t>
    </r>
  </si>
  <si>
    <t xml:space="preserve">상조 가입자</t>
  </si>
  <si>
    <r>
      <rPr>
        <sz val="10"/>
        <color rgb="FF333333"/>
        <rFont val="Arial"/>
        <family val="0"/>
        <charset val="1"/>
      </rPr>
      <t xml:space="preserve">822</t>
    </r>
    <r>
      <rPr>
        <sz val="10"/>
        <color rgb="FF333333"/>
        <rFont val="Noto Sans CJK SC"/>
        <family val="2"/>
      </rPr>
      <t xml:space="preserve">만명</t>
    </r>
  </si>
  <si>
    <r>
      <rPr>
        <sz val="10"/>
        <color rgb="FF333333"/>
        <rFont val="Arial"/>
        <family val="0"/>
        <charset val="1"/>
      </rPr>
      <t xml:space="preserve">900</t>
    </r>
    <r>
      <rPr>
        <sz val="10"/>
        <color rgb="FF333333"/>
        <rFont val="Noto Sans CJK SC"/>
        <family val="2"/>
      </rPr>
      <t xml:space="preserve">만명</t>
    </r>
  </si>
  <si>
    <r>
      <rPr>
        <sz val="10"/>
        <color rgb="FF333333"/>
        <rFont val="Arial"/>
        <family val="0"/>
        <charset val="1"/>
      </rPr>
      <t xml:space="preserve">960</t>
    </r>
    <r>
      <rPr>
        <sz val="10"/>
        <color rgb="FF333333"/>
        <rFont val="Noto Sans CJK SC"/>
        <family val="2"/>
      </rPr>
      <t xml:space="preserve">만명</t>
    </r>
  </si>
  <si>
    <r>
      <rPr>
        <b val="true"/>
        <sz val="10"/>
        <color rgb="FF2E7D32"/>
        <rFont val="Arial"/>
        <family val="0"/>
        <charset val="1"/>
      </rPr>
      <t xml:space="preserve">1,020</t>
    </r>
    <r>
      <rPr>
        <b val="true"/>
        <sz val="10"/>
        <color rgb="FF2E7D32"/>
        <rFont val="Noto Sans CJK SC"/>
        <family val="2"/>
      </rPr>
      <t xml:space="preserve">만명</t>
    </r>
  </si>
  <si>
    <t xml:space="preserve">상조→크루즈 전환율</t>
  </si>
  <si>
    <t xml:space="preserve">2~3%</t>
  </si>
  <si>
    <t xml:space="preserve">15~22%</t>
  </si>
  <si>
    <t xml:space="preserve">25~33%</t>
  </si>
  <si>
    <t xml:space="preserve">제휴 영업사원 수</t>
  </si>
  <si>
    <r>
      <rPr>
        <sz val="10"/>
        <color rgb="FF333333"/>
        <rFont val="Arial"/>
        <family val="0"/>
        <charset val="1"/>
      </rPr>
      <t xml:space="preserve">500</t>
    </r>
    <r>
      <rPr>
        <sz val="10"/>
        <color rgb="FF333333"/>
        <rFont val="Noto Sans CJK SC"/>
        <family val="2"/>
      </rPr>
      <t xml:space="preserve">명</t>
    </r>
  </si>
  <si>
    <r>
      <rPr>
        <sz val="10"/>
        <color rgb="FF333333"/>
        <rFont val="Arial"/>
        <family val="0"/>
        <charset val="1"/>
      </rPr>
      <t xml:space="preserve">2,500</t>
    </r>
    <r>
      <rPr>
        <sz val="10"/>
        <color rgb="FF333333"/>
        <rFont val="Noto Sans CJK SC"/>
        <family val="2"/>
      </rPr>
      <t xml:space="preserve">명</t>
    </r>
  </si>
  <si>
    <r>
      <rPr>
        <sz val="10"/>
        <color rgb="FF333333"/>
        <rFont val="Arial"/>
        <family val="0"/>
        <charset val="1"/>
      </rPr>
      <t xml:space="preserve">9,000</t>
    </r>
    <r>
      <rPr>
        <sz val="10"/>
        <color rgb="FF333333"/>
        <rFont val="Noto Sans CJK SC"/>
        <family val="2"/>
      </rPr>
      <t xml:space="preserve">명</t>
    </r>
  </si>
  <si>
    <r>
      <rPr>
        <b val="true"/>
        <sz val="10"/>
        <color rgb="FF2E7D32"/>
        <rFont val="Arial"/>
        <family val="0"/>
        <charset val="1"/>
      </rPr>
      <t xml:space="preserve">22,000</t>
    </r>
    <r>
      <rPr>
        <b val="true"/>
        <sz val="10"/>
        <color rgb="FF2E7D32"/>
        <rFont val="Noto Sans CJK SC"/>
        <family val="2"/>
      </rPr>
      <t xml:space="preserve">명</t>
    </r>
  </si>
  <si>
    <t xml:space="preserve">영업사원 평균 월수익</t>
  </si>
  <si>
    <t xml:space="preserve">₩800K</t>
  </si>
  <si>
    <t xml:space="preserve">₩1.6M</t>
  </si>
  <si>
    <t xml:space="preserve">₩3.0M</t>
  </si>
  <si>
    <t xml:space="preserve">₩5.0M</t>
  </si>
  <si>
    <t xml:space="preserve">★ 시장 총 규모</t>
  </si>
  <si>
    <r>
      <rPr>
        <b val="true"/>
        <sz val="10"/>
        <color rgb="FF333333"/>
        <rFont val="Arial"/>
        <family val="0"/>
        <charset val="1"/>
      </rPr>
      <t xml:space="preserve">₩0.3</t>
    </r>
    <r>
      <rPr>
        <b val="true"/>
        <sz val="10"/>
        <color rgb="FF333333"/>
        <rFont val="Noto Sans CJK SC"/>
        <family val="2"/>
      </rPr>
      <t xml:space="preserve">조</t>
    </r>
  </si>
  <si>
    <r>
      <rPr>
        <b val="true"/>
        <sz val="10"/>
        <color rgb="FF333333"/>
        <rFont val="Arial"/>
        <family val="0"/>
        <charset val="1"/>
      </rPr>
      <t xml:space="preserve">₩1.4</t>
    </r>
    <r>
      <rPr>
        <b val="true"/>
        <sz val="10"/>
        <color rgb="FF333333"/>
        <rFont val="Noto Sans CJK SC"/>
        <family val="2"/>
      </rPr>
      <t xml:space="preserve">조</t>
    </r>
  </si>
  <si>
    <r>
      <rPr>
        <b val="true"/>
        <sz val="10"/>
        <color rgb="FF333333"/>
        <rFont val="Arial"/>
        <family val="0"/>
        <charset val="1"/>
      </rPr>
      <t xml:space="preserve">₩4.0</t>
    </r>
    <r>
      <rPr>
        <b val="true"/>
        <sz val="10"/>
        <color rgb="FF333333"/>
        <rFont val="Noto Sans CJK SC"/>
        <family val="2"/>
      </rPr>
      <t xml:space="preserve">조</t>
    </r>
  </si>
  <si>
    <r>
      <rPr>
        <b val="true"/>
        <sz val="10"/>
        <color rgb="FF2E7D32"/>
        <rFont val="Arial"/>
        <family val="0"/>
        <charset val="1"/>
      </rPr>
      <t xml:space="preserve">₩9.5</t>
    </r>
    <r>
      <rPr>
        <b val="true"/>
        <sz val="10"/>
        <color rgb="FF2E7D32"/>
        <rFont val="Noto Sans CJK SC"/>
        <family val="2"/>
      </rPr>
      <t xml:space="preserve">조</t>
    </r>
  </si>
  <si>
    <r>
      <rPr>
        <b val="true"/>
        <sz val="12"/>
        <color rgb="FFFFFFFF"/>
        <rFont val="Noto Sans CJK SC"/>
        <family val="2"/>
      </rPr>
      <t xml:space="preserve">📱 영업 채널별 전략 </t>
    </r>
    <r>
      <rPr>
        <b val="true"/>
        <sz val="12"/>
        <color rgb="FFFFFFFF"/>
        <rFont val="Arial"/>
        <family val="0"/>
        <charset val="1"/>
      </rPr>
      <t xml:space="preserve">&amp; </t>
    </r>
    <r>
      <rPr>
        <b val="true"/>
        <sz val="12"/>
        <color rgb="FFFFFFFF"/>
        <rFont val="Noto Sans CJK SC"/>
        <family val="2"/>
      </rPr>
      <t xml:space="preserve">기대 수익</t>
    </r>
  </si>
  <si>
    <t xml:space="preserve">채널</t>
  </si>
  <si>
    <t xml:space="preserve">접근 방법</t>
  </si>
  <si>
    <t xml:space="preserve">주요 타겟</t>
  </si>
  <si>
    <t xml:space="preserve">월기대수익</t>
  </si>
  <si>
    <t xml:space="preserve">카카오 오픈채팅</t>
  </si>
  <si>
    <r>
      <rPr>
        <sz val="10"/>
        <color rgb="FF333333"/>
        <rFont val="Noto Sans CJK SC"/>
        <family val="2"/>
      </rPr>
      <t xml:space="preserve">상조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여행 채팅방 → 상담 유도</t>
    </r>
  </si>
  <si>
    <r>
      <rPr>
        <sz val="10"/>
        <color rgb="FF333333"/>
        <rFont val="Arial"/>
        <family val="0"/>
        <charset val="1"/>
      </rPr>
      <t xml:space="preserve">40~60</t>
    </r>
    <r>
      <rPr>
        <sz val="10"/>
        <color rgb="FF333333"/>
        <rFont val="Noto Sans CJK SC"/>
        <family val="2"/>
      </rPr>
      <t xml:space="preserve">대</t>
    </r>
  </si>
  <si>
    <t xml:space="preserve">5~8%</t>
  </si>
  <si>
    <t xml:space="preserve">₩300K~₩800K</t>
  </si>
  <si>
    <t xml:space="preserve">네이버 카페</t>
  </si>
  <si>
    <r>
      <rPr>
        <sz val="10"/>
        <color rgb="FF333333"/>
        <rFont val="Noto Sans CJK SC"/>
        <family val="2"/>
      </rPr>
      <t xml:space="preserve">상조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은퇴준비 카페 정보글 작성</t>
    </r>
  </si>
  <si>
    <r>
      <rPr>
        <sz val="10"/>
        <color rgb="FF333333"/>
        <rFont val="Arial"/>
        <family val="0"/>
        <charset val="1"/>
      </rPr>
      <t xml:space="preserve">50~65</t>
    </r>
    <r>
      <rPr>
        <sz val="10"/>
        <color rgb="FF333333"/>
        <rFont val="Noto Sans CJK SC"/>
        <family val="2"/>
      </rPr>
      <t xml:space="preserve">대</t>
    </r>
  </si>
  <si>
    <t xml:space="preserve">3~5%</t>
  </si>
  <si>
    <t xml:space="preserve">₩200K~₩500K</t>
  </si>
  <si>
    <t xml:space="preserve">인스타그램</t>
  </si>
  <si>
    <t xml:space="preserve">크루즈 후기 릴스 → 링크바이오</t>
  </si>
  <si>
    <r>
      <rPr>
        <sz val="10"/>
        <color rgb="FF333333"/>
        <rFont val="Arial"/>
        <family val="0"/>
        <charset val="1"/>
      </rPr>
      <t xml:space="preserve">35~50</t>
    </r>
    <r>
      <rPr>
        <sz val="10"/>
        <color rgb="FF333333"/>
        <rFont val="Noto Sans CJK SC"/>
        <family val="2"/>
      </rPr>
      <t xml:space="preserve">대</t>
    </r>
  </si>
  <si>
    <t xml:space="preserve">2~4%</t>
  </si>
  <si>
    <t xml:space="preserve">₩400K~₩1.2M</t>
  </si>
  <si>
    <t xml:space="preserve">유튜브 쇼츠</t>
  </si>
  <si>
    <r>
      <rPr>
        <sz val="10"/>
        <color rgb="FF333333"/>
        <rFont val="Noto Sans CJK SC"/>
        <family val="2"/>
      </rPr>
      <t xml:space="preserve">상조전환 방법 영상 → </t>
    </r>
    <r>
      <rPr>
        <sz val="10"/>
        <color rgb="FF333333"/>
        <rFont val="Arial"/>
        <family val="0"/>
        <charset val="1"/>
      </rPr>
      <t xml:space="preserve">DM </t>
    </r>
    <r>
      <rPr>
        <sz val="10"/>
        <color rgb="FF333333"/>
        <rFont val="Noto Sans CJK SC"/>
        <family val="2"/>
      </rPr>
      <t xml:space="preserve">상담</t>
    </r>
  </si>
  <si>
    <r>
      <rPr>
        <sz val="10"/>
        <color rgb="FF333333"/>
        <rFont val="Arial"/>
        <family val="0"/>
        <charset val="1"/>
      </rPr>
      <t xml:space="preserve">45~65</t>
    </r>
    <r>
      <rPr>
        <sz val="10"/>
        <color rgb="FF333333"/>
        <rFont val="Noto Sans CJK SC"/>
        <family val="2"/>
      </rPr>
      <t xml:space="preserve">대</t>
    </r>
  </si>
  <si>
    <t xml:space="preserve">4~7%</t>
  </si>
  <si>
    <t xml:space="preserve">₩500K~₩1.5M</t>
  </si>
  <si>
    <t xml:space="preserve">오프라인 설명회</t>
  </si>
  <si>
    <r>
      <rPr>
        <sz val="10"/>
        <color rgb="FF333333"/>
        <rFont val="Noto Sans CJK SC"/>
        <family val="2"/>
      </rPr>
      <t xml:space="preserve">시니어센터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Noto Sans CJK SC"/>
        <family val="2"/>
      </rPr>
      <t xml:space="preserve">문화센터 강의</t>
    </r>
  </si>
  <si>
    <r>
      <rPr>
        <sz val="10"/>
        <color rgb="FF333333"/>
        <rFont val="Arial"/>
        <family val="0"/>
        <charset val="1"/>
      </rPr>
      <t xml:space="preserve">55~75</t>
    </r>
    <r>
      <rPr>
        <sz val="10"/>
        <color rgb="FF333333"/>
        <rFont val="Noto Sans CJK SC"/>
        <family val="2"/>
      </rPr>
      <t xml:space="preserve">대</t>
    </r>
  </si>
  <si>
    <t xml:space="preserve">₩800K~₩3M</t>
  </si>
  <si>
    <t xml:space="preserve">★ 추천인 제도</t>
  </si>
  <si>
    <t xml:space="preserve">전환 고객 리워드 → 입소문</t>
  </si>
  <si>
    <t xml:space="preserve">전연령</t>
  </si>
  <si>
    <t xml:space="preserve">20~35%</t>
  </si>
  <si>
    <t xml:space="preserve">₩1M~₩5M</t>
  </si>
  <si>
    <t xml:space="preserve">Category</t>
  </si>
  <si>
    <t xml:space="preserve">Platform/Type</t>
  </si>
  <si>
    <t xml:space="preserve">Revenue/Fee</t>
  </si>
  <si>
    <t xml:space="preserve">OpEx %</t>
  </si>
  <si>
    <t xml:space="preserve">Sales Pool %</t>
  </si>
  <si>
    <t xml:space="preserve">Net Profit %</t>
  </si>
  <si>
    <t xml:space="preserve">Affiliate</t>
  </si>
  <si>
    <t xml:space="preserve">GetYourGuide</t>
  </si>
  <si>
    <t xml:space="preserve">Trip.com</t>
  </si>
  <si>
    <t xml:space="preserve">Membership</t>
  </si>
  <si>
    <t xml:space="preserve">Basic (L1-L2)</t>
  </si>
  <si>
    <t xml:space="preserve">Pro (L3-L5)</t>
  </si>
  <si>
    <t xml:space="preserve">Subscription Target</t>
  </si>
  <si>
    <t xml:space="preserve">Count</t>
  </si>
  <si>
    <t xml:space="preserve">Monthly Revenue</t>
  </si>
  <si>
    <t xml:space="preserve">Annual Revenue</t>
  </si>
  <si>
    <t xml:space="preserve">Basic Agents</t>
  </si>
  <si>
    <t xml:space="preserve">Pro Agents</t>
  </si>
  <si>
    <t xml:space="preserve">Total Subscription</t>
  </si>
  <si>
    <t xml:space="preserve">Rank</t>
  </si>
  <si>
    <t xml:space="preserve">Level</t>
  </si>
  <si>
    <t xml:space="preserve">Sales/Head</t>
  </si>
  <si>
    <t xml:space="preserve">Sales Revenue</t>
  </si>
  <si>
    <t xml:space="preserve">Affiliate Reward</t>
  </si>
  <si>
    <t xml:space="preserve">Sub. Revenue (Agent)</t>
  </si>
  <si>
    <t xml:space="preserve">Total Co. OpEx</t>
  </si>
  <si>
    <t xml:space="preserve">Total Co. Net Profit</t>
  </si>
  <si>
    <t xml:space="preserve">Agent Net Income</t>
  </si>
  <si>
    <t xml:space="preserve">L1</t>
  </si>
  <si>
    <t xml:space="preserve">Adviser</t>
  </si>
  <si>
    <t xml:space="preserve">L2</t>
  </si>
  <si>
    <t xml:space="preserve">Senior</t>
  </si>
  <si>
    <t xml:space="preserve">L3</t>
  </si>
  <si>
    <t xml:space="preserve">Manager</t>
  </si>
  <si>
    <t xml:space="preserve">L4</t>
  </si>
  <si>
    <t xml:space="preserve">Director</t>
  </si>
  <si>
    <t xml:space="preserve">L5</t>
  </si>
  <si>
    <t xml:space="preserve">VP</t>
  </si>
  <si>
    <t xml:space="preserve">Feature</t>
  </si>
  <si>
    <t xml:space="preserve">Basic (9,900)</t>
  </si>
  <si>
    <t xml:space="preserve">Pro (33,000)</t>
  </si>
  <si>
    <t xml:space="preserve">ROI for Agent</t>
  </si>
  <si>
    <t xml:space="preserve">Audio Guide</t>
  </si>
  <si>
    <t xml:space="preserve">Unlimited</t>
  </si>
  <si>
    <t xml:space="preserve">1 Tour = 49,000 worth</t>
  </si>
  <si>
    <t xml:space="preserve">Dashboard</t>
  </si>
  <si>
    <t xml:space="preserve">Basic</t>
  </si>
  <si>
    <t xml:space="preserve">Advanced (Team)</t>
  </si>
  <si>
    <t xml:space="preserve">CRM tools worth 50k</t>
  </si>
  <si>
    <t xml:space="preserve">Marketing URL</t>
  </si>
  <si>
    <t xml:space="preserve">Yes</t>
  </si>
  <si>
    <t xml:space="preserve">Custom &amp; Analytics</t>
  </si>
  <si>
    <t xml:space="preserve">Lead-gen value high</t>
  </si>
  <si>
    <t xml:space="preserve">Training</t>
  </si>
  <si>
    <t xml:space="preserve">Monthly Coaching</t>
  </si>
  <si>
    <t xml:space="preserve">Expert growth</t>
  </si>
  <si>
    <t xml:space="preserve">Break-even</t>
  </si>
  <si>
    <t xml:space="preserve">1 Tour Sale</t>
  </si>
  <si>
    <t xml:space="preserve">2 Tour Sales</t>
  </si>
  <si>
    <t xml:space="preserve">Very High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</si>
</sst>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"/>
    <numFmt numFmtId="168" formatCode="0.0\건"/>
    <numFmt numFmtId="169" formatCode="General"/>
    <numFmt numFmtId="170" formatCode="0\건"/>
    <numFmt numFmtId="171" formatCode="#,##0\원"/>
    <numFmt numFmtId="172" formatCode="&quot;📅 연간 예상 수익: ₩&quot;#,##0\원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b val="true"/>
      <sz val="18"/>
      <color rgb="FFFFFFFF"/>
      <name val="Arial"/>
      <family val="0"/>
      <charset val="1"/>
    </font>
    <font>
      <sz val="11"/>
      <color rgb="FFC9A84C"/>
      <name val="Noto Sans CJK SC"/>
      <family val="2"/>
    </font>
    <font>
      <sz val="11"/>
      <color rgb="FFC9A84C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333333"/>
      <name val="Noto Sans CJK SC"/>
      <family val="2"/>
    </font>
    <font>
      <sz val="10"/>
      <color rgb="FF333333"/>
      <name val="Arial"/>
      <family val="0"/>
      <charset val="1"/>
    </font>
    <font>
      <b val="true"/>
      <sz val="10"/>
      <color rgb="FF2E7D32"/>
      <name val="Noto Sans CJK SC"/>
      <family val="2"/>
    </font>
    <font>
      <b val="true"/>
      <sz val="10"/>
      <color rgb="FF2E7D32"/>
      <name val="Arial"/>
      <family val="0"/>
      <charset val="1"/>
    </font>
    <font>
      <b val="true"/>
      <sz val="11"/>
      <color rgb="FF1B3A6B"/>
      <name val="Noto Sans CJK SC"/>
      <family val="2"/>
    </font>
    <font>
      <b val="true"/>
      <sz val="11"/>
      <color rgb="FF1B3A6B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color rgb="FF333333"/>
      <name val="Noto Sans CJK SC"/>
      <family val="2"/>
    </font>
    <font>
      <b val="true"/>
      <sz val="15"/>
      <color rgb="FFFFFFFF"/>
      <name val="Noto Sans CJK SC"/>
      <family val="2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666666"/>
      <name val="Noto Sans CJK SC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666666"/>
      <name val="Noto Sans CJK SC"/>
      <family val="2"/>
    </font>
    <font>
      <sz val="10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1"/>
      <color rgb="FF333333"/>
      <name val="Noto Sans CJK SC"/>
      <family val="2"/>
    </font>
    <font>
      <sz val="9"/>
      <color rgb="FF757575"/>
      <name val="Noto Sans CJK SC"/>
      <family val="2"/>
    </font>
    <font>
      <sz val="9"/>
      <color rgb="FF757575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2E7D32"/>
      <name val="Noto Sans CJK SC"/>
      <family val="2"/>
    </font>
    <font>
      <b val="true"/>
      <sz val="10"/>
      <name val="Arial"/>
      <family val="0"/>
      <charset val="1"/>
    </font>
    <font>
      <b val="true"/>
      <sz val="17"/>
      <color rgb="FFFFFFFF"/>
      <name val="Noto Sans CJK SC"/>
      <family val="2"/>
    </font>
    <font>
      <b val="true"/>
      <sz val="17"/>
      <color rgb="FFFFFFFF"/>
      <name val="Arial"/>
      <family val="0"/>
      <charset val="1"/>
    </font>
    <font>
      <sz val="11"/>
      <color rgb="FF1B3A6B"/>
      <name val="Noto Sans CJK SC"/>
      <family val="2"/>
    </font>
    <font>
      <sz val="11"/>
      <color rgb="FF1B3A6B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sz val="10"/>
      <color rgb="FF757575"/>
      <name val="Noto Sans CJK SC"/>
      <family val="2"/>
    </font>
    <font>
      <sz val="11"/>
      <color rgb="FF333333"/>
      <name val="Noto Sans CJK SC"/>
      <family val="2"/>
    </font>
    <font>
      <sz val="11"/>
      <color rgb="FF333333"/>
      <name val="Arial"/>
      <family val="0"/>
      <charset val="1"/>
    </font>
    <font>
      <sz val="10"/>
      <color rgb="FF757575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8"/>
      <color rgb="FFC9A84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6A1B9A"/>
      <name val="Noto Sans CJK SC"/>
      <family val="2"/>
    </font>
    <font>
      <sz val="10"/>
      <color rgb="FF444444"/>
      <name val="Noto Sans CJK SC"/>
      <family val="2"/>
    </font>
    <font>
      <sz val="10"/>
      <color rgb="FF444444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B3A6B"/>
        <bgColor rgb="FF2C4770"/>
      </patternFill>
    </fill>
    <fill>
      <patternFill patternType="solid">
        <fgColor rgb="FF2C4770"/>
        <bgColor rgb="FF1B3A6B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C9A84C"/>
        <bgColor rgb="FF999999"/>
      </patternFill>
    </fill>
    <fill>
      <patternFill patternType="solid">
        <fgColor rgb="FF005571"/>
        <bgColor rgb="FF00695C"/>
      </patternFill>
    </fill>
    <fill>
      <patternFill patternType="solid">
        <fgColor rgb="FF1A7B9A"/>
        <bgColor rgb="FF00897B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5F5F5"/>
      </patternFill>
    </fill>
    <fill>
      <patternFill patternType="solid">
        <fgColor rgb="FF1565C0"/>
        <bgColor rgb="FF1E4DB0"/>
      </patternFill>
    </fill>
    <fill>
      <patternFill patternType="solid">
        <fgColor rgb="FF1E4DB0"/>
        <bgColor rgb="FF1565C0"/>
      </patternFill>
    </fill>
    <fill>
      <patternFill patternType="solid">
        <fgColor rgb="FFFFF9C4"/>
        <bgColor rgb="FFFFF3E0"/>
      </patternFill>
    </fill>
    <fill>
      <patternFill patternType="solid">
        <fgColor rgb="FFE65100"/>
        <bgColor rgb="FFBF360C"/>
      </patternFill>
    </fill>
    <fill>
      <patternFill patternType="solid">
        <fgColor rgb="FFBF360C"/>
        <bgColor rgb="FFE65100"/>
      </patternFill>
    </fill>
    <fill>
      <patternFill patternType="solid">
        <fgColor rgb="FF2E7D32"/>
        <bgColor rgb="FF388E3C"/>
      </patternFill>
    </fill>
    <fill>
      <patternFill patternType="solid">
        <fgColor rgb="FF1B5E20"/>
        <bgColor rgb="FF00695C"/>
      </patternFill>
    </fill>
    <fill>
      <patternFill patternType="solid">
        <fgColor rgb="FF388E3C"/>
        <bgColor rgb="FF2E7D32"/>
      </patternFill>
    </fill>
    <fill>
      <patternFill patternType="solid">
        <fgColor rgb="FF1A237E"/>
        <bgColor rgb="FF1B3A6B"/>
      </patternFill>
    </fill>
    <fill>
      <patternFill patternType="solid">
        <fgColor rgb="FF4A148C"/>
        <bgColor rgb="FF6A1B9A"/>
      </patternFill>
    </fill>
    <fill>
      <patternFill patternType="solid">
        <fgColor rgb="FF6A1B9A"/>
        <bgColor rgb="FF4A148C"/>
      </patternFill>
    </fill>
    <fill>
      <patternFill patternType="solid">
        <fgColor rgb="FF5E35B1"/>
        <bgColor rgb="FF6A1B9A"/>
      </patternFill>
    </fill>
    <fill>
      <patternFill patternType="solid">
        <fgColor rgb="FF00897B"/>
        <bgColor rgb="FF1A7B9A"/>
      </patternFill>
    </fill>
    <fill>
      <patternFill patternType="solid">
        <fgColor rgb="FF00695C"/>
        <bgColor rgb="FF00557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5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2C4770"/>
      <rgbColor rgb="FF00695C"/>
      <rgbColor rgb="FF6A1B9A"/>
      <rgbColor rgb="FF00897B"/>
      <rgbColor rgb="FFCCCCCC"/>
      <rgbColor rgb="FF757575"/>
      <rgbColor rgb="FF9999FF"/>
      <rgbColor rgb="FF5E35B1"/>
      <rgbColor rgb="FFFFF9C4"/>
      <rgbColor rgb="FFE3F2FD"/>
      <rgbColor rgb="FF4A148C"/>
      <rgbColor rgb="FFFF8080"/>
      <rgbColor rgb="FF1565C0"/>
      <rgbColor rgb="FFCCCCFF"/>
      <rgbColor rgb="FF005571"/>
      <rgbColor rgb="FFFF00FF"/>
      <rgbColor rgb="FFFFFF00"/>
      <rgbColor rgb="FF00FFFF"/>
      <rgbColor rgb="FF800080"/>
      <rgbColor rgb="FF800000"/>
      <rgbColor rgb="FF1A7B9A"/>
      <rgbColor rgb="FF0000FF"/>
      <rgbColor rgb="FF00CCFF"/>
      <rgbColor rgb="FFE8F5E9"/>
      <rgbColor rgb="FFF5F5F5"/>
      <rgbColor rgb="FFFFF3E0"/>
      <rgbColor rgb="FF99CCFF"/>
      <rgbColor rgb="FFFF99CC"/>
      <rgbColor rgb="FFCC99FF"/>
      <rgbColor rgb="FFFFCC99"/>
      <rgbColor rgb="FF1E4DB0"/>
      <rgbColor rgb="FF33CCCC"/>
      <rgbColor rgb="FF99CC00"/>
      <rgbColor rgb="FFFFCC00"/>
      <rgbColor rgb="FFC9A84C"/>
      <rgbColor rgb="FFE65100"/>
      <rgbColor rgb="FF666666"/>
      <rgbColor rgb="FF999999"/>
      <rgbColor rgb="FF1B3A6B"/>
      <rgbColor rgb="FF388E3C"/>
      <rgbColor rgb="FF1B5E20"/>
      <rgbColor rgb="FF444444"/>
      <rgbColor rgb="FFBF360C"/>
      <rgbColor rgb="FF993366"/>
      <rgbColor rgb="FF1A23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B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7" min="3" style="0" width="16"/>
    <col collapsed="false" customWidth="true" hidden="false" outlineLevel="0" max="8" min="8" style="0" width="2"/>
  </cols>
  <sheetData>
    <row r="1" customFormat="false" ht="45.7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25.5" hidden="false" customHeight="true" outlineLevel="0" collapsed="false">
      <c r="B2" s="2" t="s">
        <v>1</v>
      </c>
      <c r="C2" s="2"/>
      <c r="D2" s="2"/>
      <c r="E2" s="2"/>
      <c r="F2" s="2"/>
      <c r="G2" s="2"/>
    </row>
    <row r="3" customFormat="false" ht="9.75" hidden="false" customHeight="true" outlineLevel="0" collapsed="false"/>
    <row r="4" customFormat="false" ht="27.7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21.75" hidden="false" customHeight="true" outlineLevel="0" collapsed="false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customFormat="false" ht="19.5" hidden="false" customHeight="true" outlineLevel="0" collapsed="false">
      <c r="B6" s="5" t="s">
        <v>10</v>
      </c>
      <c r="C6" s="6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6" t="s">
        <v>16</v>
      </c>
    </row>
    <row r="7" customFormat="false" ht="19.5" hidden="false" customHeight="true" outlineLevel="0" collapsed="false">
      <c r="B7" s="8" t="s">
        <v>17</v>
      </c>
      <c r="C7" s="9" t="s">
        <v>11</v>
      </c>
      <c r="D7" s="10" t="s">
        <v>12</v>
      </c>
      <c r="E7" s="10" t="s">
        <v>18</v>
      </c>
      <c r="F7" s="10" t="s">
        <v>19</v>
      </c>
      <c r="G7" s="10" t="s">
        <v>20</v>
      </c>
      <c r="H7" s="9" t="s">
        <v>21</v>
      </c>
    </row>
    <row r="8" customFormat="false" ht="19.5" hidden="false" customHeight="true" outlineLevel="0" collapsed="false">
      <c r="B8" s="5" t="s">
        <v>22</v>
      </c>
      <c r="C8" s="6" t="s">
        <v>23</v>
      </c>
      <c r="D8" s="7" t="s">
        <v>24</v>
      </c>
      <c r="E8" s="7" t="s">
        <v>25</v>
      </c>
      <c r="F8" s="7" t="s">
        <v>26</v>
      </c>
      <c r="G8" s="7" t="s">
        <v>27</v>
      </c>
      <c r="H8" s="6" t="s">
        <v>28</v>
      </c>
    </row>
    <row r="9" customFormat="false" ht="19.5" hidden="false" customHeight="true" outlineLevel="0" collapsed="false">
      <c r="B9" s="8" t="s">
        <v>29</v>
      </c>
      <c r="C9" s="9" t="s">
        <v>23</v>
      </c>
      <c r="D9" s="10" t="s">
        <v>30</v>
      </c>
      <c r="E9" s="10" t="s">
        <v>31</v>
      </c>
      <c r="F9" s="10" t="s">
        <v>32</v>
      </c>
      <c r="G9" s="10" t="s">
        <v>33</v>
      </c>
      <c r="H9" s="9" t="s">
        <v>34</v>
      </c>
    </row>
    <row r="10" customFormat="false" ht="19.5" hidden="false" customHeight="true" outlineLevel="0" collapsed="false">
      <c r="B10" s="11" t="s">
        <v>35</v>
      </c>
      <c r="C10" s="6" t="s">
        <v>23</v>
      </c>
      <c r="D10" s="7" t="s">
        <v>36</v>
      </c>
      <c r="E10" s="7" t="s">
        <v>37</v>
      </c>
      <c r="F10" s="7" t="s">
        <v>38</v>
      </c>
      <c r="G10" s="7" t="s">
        <v>39</v>
      </c>
      <c r="H10" s="6" t="s">
        <v>40</v>
      </c>
    </row>
    <row r="11" customFormat="false" ht="19.5" hidden="false" customHeight="true" outlineLevel="0" collapsed="false">
      <c r="B11" s="12" t="s">
        <v>41</v>
      </c>
      <c r="C11" s="9" t="s">
        <v>23</v>
      </c>
      <c r="D11" s="10" t="s">
        <v>42</v>
      </c>
      <c r="E11" s="10" t="s">
        <v>43</v>
      </c>
      <c r="F11" s="10" t="s">
        <v>44</v>
      </c>
      <c r="G11" s="10" t="s">
        <v>45</v>
      </c>
      <c r="H11" s="9" t="s">
        <v>46</v>
      </c>
    </row>
    <row r="12" customFormat="false" ht="19.5" hidden="false" customHeight="true" outlineLevel="0" collapsed="false">
      <c r="B12" s="5" t="s">
        <v>47</v>
      </c>
      <c r="C12" s="6" t="s">
        <v>23</v>
      </c>
      <c r="D12" s="7" t="s">
        <v>48</v>
      </c>
      <c r="E12" s="7" t="s">
        <v>49</v>
      </c>
      <c r="F12" s="7" t="s">
        <v>50</v>
      </c>
      <c r="G12" s="7" t="s">
        <v>51</v>
      </c>
      <c r="H12" s="6" t="s">
        <v>52</v>
      </c>
    </row>
    <row r="13" customFormat="false" ht="19.5" hidden="false" customHeight="true" outlineLevel="0" collapsed="false">
      <c r="B13" s="13" t="s">
        <v>53</v>
      </c>
      <c r="C13" s="14" t="s">
        <v>54</v>
      </c>
      <c r="D13" s="14" t="s">
        <v>55</v>
      </c>
      <c r="E13" s="15" t="s">
        <v>56</v>
      </c>
      <c r="F13" s="15" t="s">
        <v>57</v>
      </c>
      <c r="G13" s="15" t="s">
        <v>58</v>
      </c>
      <c r="H13" s="14" t="s">
        <v>59</v>
      </c>
    </row>
    <row r="14" customFormat="false" ht="9.75" hidden="false" customHeight="true" outlineLevel="0" collapsed="false"/>
    <row r="15" customFormat="false" ht="27.75" hidden="false" customHeight="true" outlineLevel="0" collapsed="false">
      <c r="B15" s="16" t="s">
        <v>60</v>
      </c>
      <c r="C15" s="16"/>
      <c r="D15" s="16"/>
      <c r="E15" s="16"/>
      <c r="F15" s="16"/>
      <c r="G15" s="16"/>
    </row>
    <row r="16" customFormat="false" ht="24" hidden="false" customHeight="true" outlineLevel="0" collapsed="false">
      <c r="B16" s="17" t="s">
        <v>61</v>
      </c>
      <c r="C16" s="18" t="s">
        <v>62</v>
      </c>
      <c r="D16" s="18"/>
      <c r="E16" s="18"/>
      <c r="F16" s="18"/>
      <c r="G16" s="18"/>
    </row>
    <row r="17" customFormat="false" ht="24" hidden="false" customHeight="true" outlineLevel="0" collapsed="false">
      <c r="B17" s="19" t="s">
        <v>63</v>
      </c>
      <c r="C17" s="20" t="s">
        <v>64</v>
      </c>
      <c r="D17" s="20"/>
      <c r="E17" s="20"/>
      <c r="F17" s="20"/>
      <c r="G17" s="20"/>
    </row>
    <row r="18" customFormat="false" ht="24" hidden="false" customHeight="true" outlineLevel="0" collapsed="false">
      <c r="B18" s="17" t="s">
        <v>65</v>
      </c>
      <c r="C18" s="21" t="s">
        <v>66</v>
      </c>
      <c r="D18" s="21"/>
      <c r="E18" s="21"/>
      <c r="F18" s="21"/>
      <c r="G18" s="21"/>
    </row>
    <row r="19" customFormat="false" ht="24" hidden="false" customHeight="true" outlineLevel="0" collapsed="false">
      <c r="B19" s="19" t="s">
        <v>67</v>
      </c>
      <c r="C19" s="22" t="s">
        <v>68</v>
      </c>
      <c r="D19" s="22"/>
      <c r="E19" s="22"/>
      <c r="F19" s="22"/>
      <c r="G19" s="22"/>
    </row>
    <row r="20" customFormat="false" ht="24" hidden="false" customHeight="true" outlineLevel="0" collapsed="false">
      <c r="B20" s="23" t="s">
        <v>69</v>
      </c>
      <c r="C20" s="24" t="s">
        <v>70</v>
      </c>
      <c r="D20" s="24"/>
      <c r="E20" s="24"/>
      <c r="F20" s="24"/>
      <c r="G20" s="24"/>
    </row>
  </sheetData>
  <mergeCells count="9">
    <mergeCell ref="B1:G1"/>
    <mergeCell ref="B2:G2"/>
    <mergeCell ref="B4:G4"/>
    <mergeCell ref="B15:G15"/>
    <mergeCell ref="C16:G16"/>
    <mergeCell ref="C17:G17"/>
    <mergeCell ref="C18:G18"/>
    <mergeCell ref="C19:G19"/>
    <mergeCell ref="C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571"/>
    <pageSetUpPr fitToPage="false"/>
  </sheetPr>
  <dimension ref="B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0" min="3" style="0" width="14"/>
    <col collapsed="false" customWidth="true" hidden="false" outlineLevel="0" max="11" min="11" style="0" width="2"/>
  </cols>
  <sheetData>
    <row r="1" customFormat="false" ht="42" hidden="false" customHeight="true" outlineLevel="0" collapsed="false">
      <c r="B1" s="25" t="s">
        <v>71</v>
      </c>
      <c r="C1" s="25"/>
      <c r="D1" s="25"/>
      <c r="E1" s="25"/>
      <c r="F1" s="25"/>
      <c r="G1" s="25"/>
      <c r="H1" s="25"/>
      <c r="I1" s="25"/>
      <c r="J1" s="25"/>
    </row>
    <row r="3" customFormat="false" ht="25.5" hidden="false" customHeight="true" outlineLevel="0" collapsed="false">
      <c r="B3" s="26" t="s">
        <v>72</v>
      </c>
      <c r="C3" s="26"/>
      <c r="D3" s="26"/>
      <c r="E3" s="26"/>
      <c r="F3" s="26"/>
      <c r="G3" s="26"/>
      <c r="H3" s="26"/>
      <c r="I3" s="26"/>
      <c r="J3" s="26"/>
    </row>
    <row r="4" customFormat="false" ht="21.75" hidden="false" customHeight="true" outlineLevel="0" collapsed="false">
      <c r="B4" s="27" t="s">
        <v>73</v>
      </c>
      <c r="C4" s="27" t="s">
        <v>74</v>
      </c>
      <c r="D4" s="27" t="s">
        <v>5</v>
      </c>
      <c r="E4" s="27" t="s">
        <v>75</v>
      </c>
      <c r="F4" s="27" t="s">
        <v>76</v>
      </c>
      <c r="G4" s="27" t="s">
        <v>77</v>
      </c>
      <c r="H4" s="27" t="s">
        <v>78</v>
      </c>
    </row>
    <row r="5" customFormat="false" ht="19.5" hidden="false" customHeight="true" outlineLevel="0" collapsed="false">
      <c r="B5" s="5" t="s">
        <v>79</v>
      </c>
      <c r="C5" s="28" t="n">
        <v>400000</v>
      </c>
      <c r="D5" s="29" t="n">
        <v>0.08</v>
      </c>
      <c r="E5" s="30" t="n">
        <f aca="false">C5*D5</f>
        <v>32000</v>
      </c>
      <c r="F5" s="30" t="n">
        <f aca="false">C5*0.02</f>
        <v>8000</v>
      </c>
      <c r="G5" s="30" t="n">
        <f aca="false">E5+F5</f>
        <v>40000</v>
      </c>
      <c r="H5" s="31" t="s">
        <v>80</v>
      </c>
    </row>
    <row r="6" customFormat="false" ht="19.5" hidden="false" customHeight="true" outlineLevel="0" collapsed="false">
      <c r="B6" s="5" t="s">
        <v>81</v>
      </c>
      <c r="C6" s="28" t="n">
        <v>480000</v>
      </c>
      <c r="D6" s="29" t="n">
        <v>0.08</v>
      </c>
      <c r="E6" s="30" t="n">
        <f aca="false">C6*D6</f>
        <v>38400</v>
      </c>
      <c r="F6" s="30" t="n">
        <f aca="false">C6*0.02</f>
        <v>9600</v>
      </c>
      <c r="G6" s="30" t="n">
        <f aca="false">E6+F6</f>
        <v>48000</v>
      </c>
      <c r="H6" s="31" t="s">
        <v>82</v>
      </c>
    </row>
    <row r="7" customFormat="false" ht="19.5" hidden="false" customHeight="true" outlineLevel="0" collapsed="false">
      <c r="B7" s="32" t="s">
        <v>83</v>
      </c>
      <c r="C7" s="33" t="n">
        <v>800000</v>
      </c>
      <c r="D7" s="34" t="n">
        <v>0.08</v>
      </c>
      <c r="E7" s="35" t="n">
        <f aca="false">C7*D7</f>
        <v>64000</v>
      </c>
      <c r="F7" s="35" t="n">
        <f aca="false">C7*0.02</f>
        <v>16000</v>
      </c>
      <c r="G7" s="35" t="n">
        <f aca="false">E7+F7</f>
        <v>80000</v>
      </c>
      <c r="H7" s="36" t="s">
        <v>84</v>
      </c>
    </row>
    <row r="8" customFormat="false" ht="19.5" hidden="false" customHeight="true" outlineLevel="0" collapsed="false">
      <c r="B8" s="32" t="s">
        <v>85</v>
      </c>
      <c r="C8" s="33" t="n">
        <v>960000</v>
      </c>
      <c r="D8" s="34" t="n">
        <v>0.08</v>
      </c>
      <c r="E8" s="35" t="n">
        <f aca="false">C8*D8</f>
        <v>76800</v>
      </c>
      <c r="F8" s="35" t="n">
        <f aca="false">C8*0.02</f>
        <v>19200</v>
      </c>
      <c r="G8" s="35" t="n">
        <f aca="false">E8+F8</f>
        <v>96000</v>
      </c>
      <c r="H8" s="36" t="s">
        <v>86</v>
      </c>
    </row>
    <row r="9" customFormat="false" ht="19.5" hidden="false" customHeight="true" outlineLevel="0" collapsed="false">
      <c r="B9" s="37" t="s">
        <v>87</v>
      </c>
      <c r="C9" s="38" t="n">
        <v>1400000</v>
      </c>
      <c r="D9" s="39" t="n">
        <v>0.1</v>
      </c>
      <c r="E9" s="40" t="n">
        <f aca="false">C9*D9</f>
        <v>140000</v>
      </c>
      <c r="F9" s="40" t="n">
        <f aca="false">C9*0.03</f>
        <v>42000</v>
      </c>
      <c r="G9" s="40" t="n">
        <f aca="false">E9+F9</f>
        <v>182000</v>
      </c>
      <c r="H9" s="41" t="s">
        <v>88</v>
      </c>
    </row>
    <row r="10" customFormat="false" ht="9.75" hidden="false" customHeight="true" outlineLevel="0" collapsed="false"/>
    <row r="11" customFormat="false" ht="25.5" hidden="false" customHeight="true" outlineLevel="0" collapsed="false">
      <c r="B11" s="26" t="s">
        <v>89</v>
      </c>
      <c r="C11" s="26"/>
      <c r="D11" s="26"/>
      <c r="E11" s="26"/>
      <c r="F11" s="26"/>
      <c r="G11" s="26"/>
      <c r="H11" s="26"/>
      <c r="I11" s="26"/>
      <c r="J11" s="26"/>
    </row>
    <row r="12" customFormat="false" ht="21.75" hidden="false" customHeight="true" outlineLevel="0" collapsed="false">
      <c r="B12" s="27" t="s">
        <v>90</v>
      </c>
      <c r="C12" s="42" t="s">
        <v>91</v>
      </c>
      <c r="D12" s="42" t="s">
        <v>92</v>
      </c>
      <c r="E12" s="42" t="s">
        <v>93</v>
      </c>
      <c r="F12" s="42" t="s">
        <v>94</v>
      </c>
      <c r="G12" s="27" t="s">
        <v>95</v>
      </c>
      <c r="H12" s="27" t="s">
        <v>96</v>
      </c>
      <c r="I12" s="27" t="s">
        <v>97</v>
      </c>
      <c r="J12" s="27" t="s">
        <v>98</v>
      </c>
    </row>
    <row r="13" customFormat="false" ht="19.5" hidden="false" customHeight="true" outlineLevel="0" collapsed="false">
      <c r="B13" s="5" t="s">
        <v>99</v>
      </c>
      <c r="C13" s="43" t="n">
        <v>3</v>
      </c>
      <c r="D13" s="30" t="n">
        <f aca="false">C14*32000</f>
        <v>256000</v>
      </c>
      <c r="E13" s="43" t="n">
        <v>1</v>
      </c>
      <c r="F13" s="30" t="n">
        <f aca="false">E14*64000</f>
        <v>192000</v>
      </c>
      <c r="G13" s="43" t="n">
        <v>1</v>
      </c>
      <c r="H13" s="30" t="n">
        <f aca="false">G14*8000</f>
        <v>16000</v>
      </c>
      <c r="I13" s="30" t="n">
        <f aca="false">D14+F14+H14</f>
        <v>1128000</v>
      </c>
      <c r="J13" s="30" t="n">
        <f aca="false">I14*12</f>
        <v>25920000</v>
      </c>
    </row>
    <row r="14" customFormat="false" ht="19.5" hidden="false" customHeight="true" outlineLevel="0" collapsed="false">
      <c r="B14" s="8" t="s">
        <v>100</v>
      </c>
      <c r="C14" s="44" t="n">
        <v>8</v>
      </c>
      <c r="D14" s="45" t="n">
        <f aca="false">C15*32000</f>
        <v>576000</v>
      </c>
      <c r="E14" s="44" t="n">
        <v>3</v>
      </c>
      <c r="F14" s="45" t="n">
        <f aca="false">E15*64000</f>
        <v>512000</v>
      </c>
      <c r="G14" s="44" t="n">
        <v>2</v>
      </c>
      <c r="H14" s="45" t="n">
        <f aca="false">G15*8000</f>
        <v>40000</v>
      </c>
      <c r="I14" s="45" t="n">
        <f aca="false">D15+F15+H15</f>
        <v>2160000</v>
      </c>
      <c r="J14" s="45" t="n">
        <f aca="false">I15*12</f>
        <v>51840000</v>
      </c>
    </row>
    <row r="15" customFormat="false" ht="19.5" hidden="false" customHeight="true" outlineLevel="0" collapsed="false">
      <c r="B15" s="32" t="s">
        <v>101</v>
      </c>
      <c r="C15" s="46" t="n">
        <v>18</v>
      </c>
      <c r="D15" s="35" t="n">
        <f aca="false">C16*32000</f>
        <v>1120000</v>
      </c>
      <c r="E15" s="46" t="n">
        <v>8</v>
      </c>
      <c r="F15" s="35" t="n">
        <f aca="false">E16*64000</f>
        <v>960000</v>
      </c>
      <c r="G15" s="46" t="n">
        <v>5</v>
      </c>
      <c r="H15" s="35" t="n">
        <f aca="false">G16*8000</f>
        <v>80000</v>
      </c>
      <c r="I15" s="35" t="n">
        <f aca="false">D16+F16+H16</f>
        <v>4320000</v>
      </c>
      <c r="J15" s="35" t="n">
        <f aca="false">I16*12</f>
        <v>0</v>
      </c>
    </row>
    <row r="16" customFormat="false" ht="19.5" hidden="false" customHeight="true" outlineLevel="0" collapsed="false">
      <c r="B16" s="47" t="s">
        <v>102</v>
      </c>
      <c r="C16" s="48" t="n">
        <v>35</v>
      </c>
      <c r="D16" s="49" t="n">
        <f aca="false">C17*32000</f>
        <v>2240000</v>
      </c>
      <c r="E16" s="48" t="n">
        <v>15</v>
      </c>
      <c r="F16" s="49" t="n">
        <f aca="false">E17*64000</f>
        <v>1920000</v>
      </c>
      <c r="G16" s="48" t="n">
        <v>10</v>
      </c>
      <c r="H16" s="49" t="n">
        <f aca="false">G17*8000</f>
        <v>160000</v>
      </c>
      <c r="I16" s="49" t="n">
        <f aca="false">D17+F17+H17</f>
        <v>0</v>
      </c>
      <c r="J16" s="49" t="n">
        <f aca="false">I17*12</f>
        <v>0</v>
      </c>
    </row>
    <row r="17" customFormat="false" ht="19.5" hidden="false" customHeight="true" outlineLevel="0" collapsed="false">
      <c r="B17" s="37" t="s">
        <v>103</v>
      </c>
      <c r="C17" s="50" t="n">
        <v>70</v>
      </c>
      <c r="D17" s="40" t="n">
        <f aca="false">C18*32000</f>
        <v>0</v>
      </c>
      <c r="E17" s="50" t="n">
        <v>30</v>
      </c>
      <c r="F17" s="40" t="n">
        <f aca="false">E18*64000</f>
        <v>0</v>
      </c>
      <c r="G17" s="50" t="n">
        <v>20</v>
      </c>
      <c r="H17" s="40" t="n">
        <f aca="false">G18*8000</f>
        <v>0</v>
      </c>
      <c r="I17" s="40" t="n">
        <f aca="false">D18+F18+H18</f>
        <v>0</v>
      </c>
      <c r="J17" s="40" t="n">
        <f aca="false">I18*12</f>
        <v>0</v>
      </c>
    </row>
    <row r="18" customFormat="false" ht="9.75" hidden="false" customHeight="true" outlineLevel="0" collapsed="false"/>
    <row r="19" customFormat="false" ht="25.5" hidden="false" customHeight="true" outlineLevel="0" collapsed="false">
      <c r="B19" s="26" t="s">
        <v>104</v>
      </c>
      <c r="C19" s="26"/>
      <c r="D19" s="26"/>
      <c r="E19" s="26"/>
      <c r="F19" s="26"/>
      <c r="G19" s="26"/>
      <c r="H19" s="26"/>
      <c r="I19" s="26"/>
      <c r="J19" s="26"/>
    </row>
    <row r="20" customFormat="false" ht="21.75" hidden="false" customHeight="true" outlineLevel="0" collapsed="false">
      <c r="B20" s="27" t="s">
        <v>105</v>
      </c>
      <c r="C20" s="27" t="s">
        <v>106</v>
      </c>
      <c r="D20" s="27" t="s">
        <v>107</v>
      </c>
      <c r="E20" s="27" t="s">
        <v>108</v>
      </c>
      <c r="F20" s="27" t="s">
        <v>96</v>
      </c>
      <c r="G20" s="27" t="s">
        <v>109</v>
      </c>
      <c r="H20" s="27" t="s">
        <v>7</v>
      </c>
      <c r="I20" s="27" t="s">
        <v>110</v>
      </c>
    </row>
    <row r="21" customFormat="false" ht="19.5" hidden="false" customHeight="true" outlineLevel="0" collapsed="false">
      <c r="B21" s="28" t="n">
        <v>500000</v>
      </c>
      <c r="C21" s="30" t="n">
        <f aca="false">B22*0.82</f>
        <v>820000</v>
      </c>
      <c r="D21" s="51" t="s">
        <v>111</v>
      </c>
      <c r="E21" s="30" t="n">
        <f aca="false">C22*0.08</f>
        <v>131200</v>
      </c>
      <c r="F21" s="30" t="n">
        <f aca="false">B22*0.02</f>
        <v>20000</v>
      </c>
      <c r="G21" s="30" t="n">
        <f aca="false">E22+F22</f>
        <v>368000</v>
      </c>
      <c r="H21" s="30" t="n">
        <f aca="false">G22*10</f>
        <v>7560000</v>
      </c>
      <c r="I21" s="30" t="n">
        <f aca="false">G22*20</f>
        <v>15120000</v>
      </c>
    </row>
    <row r="22" customFormat="false" ht="19.5" hidden="false" customHeight="true" outlineLevel="0" collapsed="false">
      <c r="B22" s="52" t="n">
        <v>1000000</v>
      </c>
      <c r="C22" s="45" t="n">
        <f aca="false">B23*0.82</f>
        <v>1640000</v>
      </c>
      <c r="D22" s="53" t="s">
        <v>112</v>
      </c>
      <c r="E22" s="45" t="n">
        <f aca="false">C23*0.08</f>
        <v>328000</v>
      </c>
      <c r="F22" s="45" t="n">
        <f aca="false">B23*0.02</f>
        <v>40000</v>
      </c>
      <c r="G22" s="45" t="n">
        <f aca="false">E23+F23</f>
        <v>756000</v>
      </c>
      <c r="H22" s="45" t="n">
        <f aca="false">G23*10</f>
        <v>2500000</v>
      </c>
      <c r="I22" s="45" t="n">
        <f aca="false">G23*20</f>
        <v>5000000</v>
      </c>
    </row>
    <row r="23" customFormat="false" ht="19.5" hidden="false" customHeight="true" outlineLevel="0" collapsed="false">
      <c r="B23" s="33" t="n">
        <v>2000000</v>
      </c>
      <c r="C23" s="35" t="n">
        <f aca="false">B24*0.82</f>
        <v>4100000</v>
      </c>
      <c r="D23" s="54" t="s">
        <v>113</v>
      </c>
      <c r="E23" s="35" t="n">
        <f aca="false">C24*0.08</f>
        <v>656000</v>
      </c>
      <c r="F23" s="35" t="n">
        <f aca="false">B24*0.02</f>
        <v>100000</v>
      </c>
      <c r="G23" s="35" t="n">
        <f aca="false">E24+F24</f>
        <v>250000</v>
      </c>
      <c r="H23" s="35" t="n">
        <f aca="false">G24*10</f>
        <v>0</v>
      </c>
      <c r="I23" s="35" t="n">
        <f aca="false">G24*20</f>
        <v>0</v>
      </c>
    </row>
    <row r="24" customFormat="false" ht="19.5" hidden="false" customHeight="true" outlineLevel="0" collapsed="false">
      <c r="B24" s="55" t="n">
        <v>5000000</v>
      </c>
      <c r="C24" s="49" t="n">
        <f aca="false">B25*0.82</f>
        <v>8200000</v>
      </c>
      <c r="D24" s="56" t="s">
        <v>114</v>
      </c>
      <c r="E24" s="49" t="n">
        <f aca="false">C25*0.1</f>
        <v>0</v>
      </c>
      <c r="F24" s="49" t="n">
        <f aca="false">B25*0.025</f>
        <v>250000</v>
      </c>
      <c r="G24" s="49" t="n">
        <f aca="false">E25+F25</f>
        <v>0</v>
      </c>
      <c r="H24" s="49" t="n">
        <f aca="false">G25*10</f>
        <v>0</v>
      </c>
      <c r="I24" s="49" t="n">
        <f aca="false">G25*20</f>
        <v>0</v>
      </c>
    </row>
    <row r="25" customFormat="false" ht="19.5" hidden="false" customHeight="true" outlineLevel="0" collapsed="false">
      <c r="B25" s="38" t="n">
        <v>10000000</v>
      </c>
      <c r="C25" s="40" t="n">
        <f aca="false">B26*0.82</f>
        <v>0</v>
      </c>
      <c r="D25" s="57" t="s">
        <v>115</v>
      </c>
      <c r="E25" s="40" t="n">
        <f aca="false">C26*0.1</f>
        <v>0</v>
      </c>
      <c r="F25" s="40" t="n">
        <f aca="false">B26*0.03</f>
        <v>0</v>
      </c>
      <c r="G25" s="40" t="n">
        <f aca="false">E26+F26</f>
        <v>0</v>
      </c>
      <c r="H25" s="40" t="n">
        <f aca="false">G26*10</f>
        <v>0</v>
      </c>
      <c r="I25" s="40" t="n">
        <f aca="false">G26*20</f>
        <v>0</v>
      </c>
    </row>
  </sheetData>
  <mergeCells count="4">
    <mergeCell ref="B1:J1"/>
    <mergeCell ref="B3:J3"/>
    <mergeCell ref="B11:J11"/>
    <mergeCell ref="B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B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39.75" hidden="false" customHeight="true" outlineLevel="0" collapsed="false">
      <c r="B1" s="58" t="s">
        <v>116</v>
      </c>
      <c r="C1" s="58"/>
      <c r="D1" s="58"/>
      <c r="E1" s="58"/>
      <c r="F1" s="58"/>
      <c r="G1" s="58"/>
      <c r="H1" s="58"/>
      <c r="I1" s="58"/>
    </row>
    <row r="3" customFormat="false" ht="25.5" hidden="false" customHeight="true" outlineLevel="0" collapsed="false">
      <c r="B3" s="59" t="s">
        <v>117</v>
      </c>
      <c r="C3" s="59"/>
      <c r="D3" s="59"/>
      <c r="E3" s="59"/>
      <c r="F3" s="59"/>
      <c r="G3" s="59"/>
      <c r="H3" s="59"/>
      <c r="I3" s="59"/>
    </row>
    <row r="4" customFormat="false" ht="21.75" hidden="false" customHeight="true" outlineLevel="0" collapsed="false">
      <c r="B4" s="60" t="s">
        <v>4</v>
      </c>
      <c r="C4" s="60" t="s">
        <v>118</v>
      </c>
      <c r="D4" s="60" t="s">
        <v>119</v>
      </c>
      <c r="E4" s="60" t="s">
        <v>120</v>
      </c>
      <c r="F4" s="60" t="s">
        <v>121</v>
      </c>
      <c r="G4" s="60" t="s">
        <v>122</v>
      </c>
      <c r="H4" s="60" t="s">
        <v>123</v>
      </c>
      <c r="I4" s="60" t="s">
        <v>124</v>
      </c>
      <c r="J4" s="60" t="s">
        <v>78</v>
      </c>
    </row>
    <row r="5" customFormat="false" ht="19.5" hidden="false" customHeight="true" outlineLevel="0" collapsed="false">
      <c r="B5" s="32" t="s">
        <v>22</v>
      </c>
      <c r="C5" s="32" t="s">
        <v>125</v>
      </c>
      <c r="D5" s="34" t="n">
        <v>0.08</v>
      </c>
      <c r="E5" s="34" t="n">
        <v>0.15</v>
      </c>
      <c r="F5" s="33" t="n">
        <v>150000</v>
      </c>
      <c r="G5" s="35" t="n">
        <f aca="false">D5*F5</f>
        <v>12000</v>
      </c>
      <c r="H5" s="35" t="n">
        <f aca="false">E5*F5</f>
        <v>22500</v>
      </c>
      <c r="I5" s="36" t="s">
        <v>126</v>
      </c>
      <c r="J5" s="36" t="s">
        <v>127</v>
      </c>
    </row>
    <row r="6" customFormat="false" ht="19.5" hidden="false" customHeight="true" outlineLevel="0" collapsed="false">
      <c r="B6" s="32" t="s">
        <v>22</v>
      </c>
      <c r="C6" s="32" t="s">
        <v>128</v>
      </c>
      <c r="D6" s="34" t="n">
        <v>0.05</v>
      </c>
      <c r="E6" s="34" t="n">
        <v>0.1</v>
      </c>
      <c r="F6" s="33" t="n">
        <v>200000</v>
      </c>
      <c r="G6" s="35" t="n">
        <f aca="false">D6*F6</f>
        <v>10000</v>
      </c>
      <c r="H6" s="35" t="n">
        <f aca="false">E6*F6</f>
        <v>20000</v>
      </c>
      <c r="I6" s="36" t="s">
        <v>126</v>
      </c>
      <c r="J6" s="36" t="s">
        <v>129</v>
      </c>
    </row>
    <row r="7" customFormat="false" ht="19.5" hidden="false" customHeight="true" outlineLevel="0" collapsed="false">
      <c r="B7" s="47" t="s">
        <v>29</v>
      </c>
      <c r="C7" s="47" t="s">
        <v>130</v>
      </c>
      <c r="D7" s="61" t="n">
        <v>0.04</v>
      </c>
      <c r="E7" s="61" t="n">
        <v>0.08</v>
      </c>
      <c r="F7" s="55" t="n">
        <v>300000</v>
      </c>
      <c r="G7" s="49" t="n">
        <f aca="false">D7*F7</f>
        <v>12000</v>
      </c>
      <c r="H7" s="49" t="n">
        <f aca="false">E7*F7</f>
        <v>24000</v>
      </c>
      <c r="I7" s="62" t="s">
        <v>126</v>
      </c>
      <c r="J7" s="62" t="s">
        <v>131</v>
      </c>
    </row>
    <row r="8" customFormat="false" ht="19.5" hidden="false" customHeight="true" outlineLevel="0" collapsed="false">
      <c r="B8" s="47" t="s">
        <v>29</v>
      </c>
      <c r="C8" s="47" t="s">
        <v>132</v>
      </c>
      <c r="D8" s="61" t="n">
        <v>0.05</v>
      </c>
      <c r="E8" s="61" t="n">
        <v>0.09</v>
      </c>
      <c r="F8" s="55" t="n">
        <v>500000</v>
      </c>
      <c r="G8" s="49" t="n">
        <f aca="false">D8*F8</f>
        <v>25000</v>
      </c>
      <c r="H8" s="49" t="n">
        <f aca="false">E8*F8</f>
        <v>45000</v>
      </c>
      <c r="I8" s="62" t="s">
        <v>126</v>
      </c>
      <c r="J8" s="62" t="s">
        <v>133</v>
      </c>
    </row>
    <row r="9" customFormat="false" ht="19.5" hidden="false" customHeight="true" outlineLevel="0" collapsed="false">
      <c r="B9" s="63" t="s">
        <v>35</v>
      </c>
      <c r="C9" s="64" t="s">
        <v>125</v>
      </c>
      <c r="D9" s="65" t="n">
        <v>0.08</v>
      </c>
      <c r="E9" s="65" t="n">
        <v>0.12</v>
      </c>
      <c r="F9" s="66" t="n">
        <v>200000</v>
      </c>
      <c r="G9" s="67" t="n">
        <f aca="false">D9*F9</f>
        <v>16000</v>
      </c>
      <c r="H9" s="67" t="n">
        <f aca="false">E9*F9</f>
        <v>24000</v>
      </c>
      <c r="I9" s="68" t="s">
        <v>134</v>
      </c>
      <c r="J9" s="68" t="s">
        <v>135</v>
      </c>
    </row>
    <row r="10" customFormat="false" ht="19.5" hidden="false" customHeight="true" outlineLevel="0" collapsed="false">
      <c r="B10" s="63" t="s">
        <v>35</v>
      </c>
      <c r="C10" s="64" t="s">
        <v>136</v>
      </c>
      <c r="D10" s="65" t="n">
        <v>0.1</v>
      </c>
      <c r="E10" s="65" t="n">
        <v>0.15</v>
      </c>
      <c r="F10" s="66" t="n">
        <v>350000</v>
      </c>
      <c r="G10" s="67" t="n">
        <f aca="false">D10*F10</f>
        <v>35000</v>
      </c>
      <c r="H10" s="67" t="n">
        <f aca="false">E10*F10</f>
        <v>52500</v>
      </c>
      <c r="I10" s="68" t="s">
        <v>134</v>
      </c>
      <c r="J10" s="68" t="s">
        <v>137</v>
      </c>
    </row>
    <row r="11" customFormat="false" ht="19.5" hidden="false" customHeight="true" outlineLevel="0" collapsed="false">
      <c r="B11" s="69" t="s">
        <v>41</v>
      </c>
      <c r="C11" s="70" t="s">
        <v>138</v>
      </c>
      <c r="D11" s="71" t="n">
        <v>0.06</v>
      </c>
      <c r="E11" s="71" t="n">
        <v>0.12</v>
      </c>
      <c r="F11" s="72" t="n">
        <v>180000</v>
      </c>
      <c r="G11" s="73" t="n">
        <f aca="false">D11*F11</f>
        <v>10800</v>
      </c>
      <c r="H11" s="73" t="n">
        <f aca="false">E11*F11</f>
        <v>21600</v>
      </c>
      <c r="I11" s="74" t="s">
        <v>126</v>
      </c>
      <c r="J11" s="74" t="s">
        <v>139</v>
      </c>
    </row>
    <row r="12" customFormat="false" ht="19.5" hidden="false" customHeight="true" outlineLevel="0" collapsed="false">
      <c r="B12" s="69" t="s">
        <v>41</v>
      </c>
      <c r="C12" s="70" t="s">
        <v>140</v>
      </c>
      <c r="D12" s="71" t="n">
        <v>0.04</v>
      </c>
      <c r="E12" s="71" t="n">
        <v>0.08</v>
      </c>
      <c r="F12" s="72" t="n">
        <v>250000</v>
      </c>
      <c r="G12" s="73" t="n">
        <f aca="false">D12*F12</f>
        <v>10000</v>
      </c>
      <c r="H12" s="73" t="n">
        <f aca="false">E12*F12</f>
        <v>20000</v>
      </c>
      <c r="I12" s="74" t="s">
        <v>126</v>
      </c>
      <c r="J12" s="75" t="s">
        <v>141</v>
      </c>
    </row>
    <row r="13" customFormat="false" ht="19.5" hidden="false" customHeight="true" outlineLevel="0" collapsed="false">
      <c r="B13" s="8" t="s">
        <v>47</v>
      </c>
      <c r="C13" s="8" t="s">
        <v>142</v>
      </c>
      <c r="D13" s="76" t="n">
        <v>0.03</v>
      </c>
      <c r="E13" s="76" t="n">
        <v>0.07</v>
      </c>
      <c r="F13" s="52" t="n">
        <v>800000</v>
      </c>
      <c r="G13" s="45" t="n">
        <f aca="false">D13*F13</f>
        <v>24000</v>
      </c>
      <c r="H13" s="45" t="n">
        <f aca="false">E13*F13</f>
        <v>56000</v>
      </c>
      <c r="I13" s="77" t="s">
        <v>143</v>
      </c>
      <c r="J13" s="77" t="s">
        <v>144</v>
      </c>
    </row>
    <row r="14" customFormat="false" ht="19.5" hidden="false" customHeight="true" outlineLevel="0" collapsed="false">
      <c r="B14" s="8" t="s">
        <v>47</v>
      </c>
      <c r="C14" s="8" t="s">
        <v>145</v>
      </c>
      <c r="D14" s="76" t="n">
        <v>0.04</v>
      </c>
      <c r="E14" s="76" t="n">
        <v>0.08</v>
      </c>
      <c r="F14" s="52" t="n">
        <v>200000</v>
      </c>
      <c r="G14" s="45" t="n">
        <f aca="false">D14*F14</f>
        <v>8000</v>
      </c>
      <c r="H14" s="45" t="n">
        <f aca="false">E14*F14</f>
        <v>16000</v>
      </c>
      <c r="I14" s="77" t="s">
        <v>143</v>
      </c>
      <c r="J14" s="77" t="s">
        <v>146</v>
      </c>
    </row>
    <row r="15" customFormat="false" ht="9.75" hidden="false" customHeight="true" outlineLevel="0" collapsed="false"/>
    <row r="16" customFormat="false" ht="25.5" hidden="false" customHeight="true" outlineLevel="0" collapsed="false">
      <c r="B16" s="59" t="s">
        <v>147</v>
      </c>
      <c r="C16" s="59"/>
      <c r="D16" s="59"/>
      <c r="E16" s="59"/>
      <c r="F16" s="59"/>
      <c r="G16" s="59"/>
      <c r="H16" s="59"/>
      <c r="I16" s="59"/>
    </row>
    <row r="17" customFormat="false" ht="21.75" hidden="false" customHeight="true" outlineLevel="0" collapsed="false">
      <c r="B17" s="60" t="s">
        <v>148</v>
      </c>
      <c r="C17" s="60" t="s">
        <v>149</v>
      </c>
      <c r="D17" s="60" t="s">
        <v>75</v>
      </c>
      <c r="E17" s="60" t="s">
        <v>150</v>
      </c>
      <c r="F17" s="60" t="s">
        <v>151</v>
      </c>
      <c r="G17" s="60" t="s">
        <v>152</v>
      </c>
      <c r="H17" s="60" t="s">
        <v>153</v>
      </c>
      <c r="I17" s="60" t="s">
        <v>154</v>
      </c>
    </row>
    <row r="18" customFormat="false" ht="19.5" hidden="false" customHeight="true" outlineLevel="0" collapsed="false">
      <c r="B18" s="5" t="s">
        <v>155</v>
      </c>
      <c r="C18" s="28" t="n">
        <v>500000</v>
      </c>
      <c r="D18" s="29" t="n">
        <v>0.08</v>
      </c>
      <c r="E18" s="28" t="n">
        <v>0</v>
      </c>
      <c r="F18" s="28" t="n">
        <v>0</v>
      </c>
      <c r="G18" s="30" t="n">
        <f aca="false">C18*D18+E18+F18</f>
        <v>40000</v>
      </c>
      <c r="H18" s="78" t="n">
        <v>30</v>
      </c>
      <c r="I18" s="30" t="n">
        <f aca="false">IF(H18=0,0,G18/H18)</f>
        <v>1333.33333333333</v>
      </c>
    </row>
    <row r="19" customFormat="false" ht="19.5" hidden="false" customHeight="true" outlineLevel="0" collapsed="false">
      <c r="B19" s="8" t="s">
        <v>156</v>
      </c>
      <c r="C19" s="52" t="n">
        <v>1500000</v>
      </c>
      <c r="D19" s="76" t="n">
        <v>0.08</v>
      </c>
      <c r="E19" s="52" t="n">
        <v>20000</v>
      </c>
      <c r="F19" s="52" t="n">
        <v>10000</v>
      </c>
      <c r="G19" s="45" t="n">
        <f aca="false">C19*D19+E19+F19</f>
        <v>150000</v>
      </c>
      <c r="H19" s="79" t="n">
        <v>50</v>
      </c>
      <c r="I19" s="45" t="n">
        <f aca="false">IF(H19=0,0,G19/H19)</f>
        <v>3000</v>
      </c>
    </row>
    <row r="20" customFormat="false" ht="19.5" hidden="false" customHeight="true" outlineLevel="0" collapsed="false">
      <c r="B20" s="32" t="s">
        <v>157</v>
      </c>
      <c r="C20" s="33" t="n">
        <v>5000000</v>
      </c>
      <c r="D20" s="34" t="n">
        <v>0.1</v>
      </c>
      <c r="E20" s="33" t="n">
        <v>80000</v>
      </c>
      <c r="F20" s="33" t="n">
        <v>30000</v>
      </c>
      <c r="G20" s="35" t="n">
        <f aca="false">C20*D20+E20+F20</f>
        <v>610000</v>
      </c>
      <c r="H20" s="80" t="n">
        <v>80</v>
      </c>
      <c r="I20" s="35" t="n">
        <f aca="false">IF(H20=0,0,G20/H20)</f>
        <v>7625</v>
      </c>
    </row>
    <row r="21" customFormat="false" ht="19.5" hidden="false" customHeight="true" outlineLevel="0" collapsed="false">
      <c r="B21" s="47" t="s">
        <v>158</v>
      </c>
      <c r="C21" s="55" t="n">
        <v>15000000</v>
      </c>
      <c r="D21" s="61" t="n">
        <v>0.12</v>
      </c>
      <c r="E21" s="55" t="n">
        <v>300000</v>
      </c>
      <c r="F21" s="55" t="n">
        <v>100000</v>
      </c>
      <c r="G21" s="49" t="n">
        <f aca="false">C21*D21+E21+F21</f>
        <v>2200000</v>
      </c>
      <c r="H21" s="81" t="n">
        <v>100</v>
      </c>
      <c r="I21" s="49" t="n">
        <f aca="false">IF(H21=0,0,G21/H21)</f>
        <v>22000</v>
      </c>
    </row>
    <row r="22" customFormat="false" ht="19.5" hidden="false" customHeight="true" outlineLevel="0" collapsed="false">
      <c r="B22" s="37" t="s">
        <v>159</v>
      </c>
      <c r="C22" s="38" t="n">
        <v>50000000</v>
      </c>
      <c r="D22" s="39" t="n">
        <v>0.15</v>
      </c>
      <c r="E22" s="38" t="n">
        <v>1200000</v>
      </c>
      <c r="F22" s="38" t="n">
        <v>500000</v>
      </c>
      <c r="G22" s="40" t="n">
        <f aca="false">C22*D22+E22+F22</f>
        <v>9200000</v>
      </c>
      <c r="H22" s="82" t="n">
        <v>160</v>
      </c>
      <c r="I22" s="40" t="n">
        <f aca="false">IF(H22=0,0,G22/H22)</f>
        <v>57500</v>
      </c>
    </row>
    <row r="23" customFormat="false" ht="9.75" hidden="false" customHeight="true" outlineLevel="0" collapsed="false"/>
    <row r="24" customFormat="false" ht="25.5" hidden="false" customHeight="true" outlineLevel="0" collapsed="false">
      <c r="B24" s="59" t="s">
        <v>160</v>
      </c>
      <c r="C24" s="59"/>
      <c r="D24" s="59"/>
      <c r="E24" s="59"/>
      <c r="F24" s="59"/>
      <c r="G24" s="59"/>
      <c r="H24" s="59"/>
      <c r="I24" s="59"/>
    </row>
    <row r="25" customFormat="false" ht="21.75" hidden="false" customHeight="true" outlineLevel="0" collapsed="false">
      <c r="B25" s="60" t="s">
        <v>161</v>
      </c>
      <c r="C25" s="60" t="s">
        <v>162</v>
      </c>
      <c r="D25" s="60" t="s">
        <v>4</v>
      </c>
      <c r="E25" s="60" t="s">
        <v>163</v>
      </c>
      <c r="F25" s="60" t="s">
        <v>164</v>
      </c>
      <c r="G25" s="83" t="s">
        <v>165</v>
      </c>
      <c r="H25" s="60" t="s">
        <v>9</v>
      </c>
      <c r="I25" s="60" t="s">
        <v>166</v>
      </c>
    </row>
    <row r="26" customFormat="false" ht="21.75" hidden="false" customHeight="true" outlineLevel="0" collapsed="false">
      <c r="B26" s="84" t="s">
        <v>167</v>
      </c>
      <c r="C26" s="85" t="s">
        <v>168</v>
      </c>
      <c r="D26" s="86" t="s">
        <v>169</v>
      </c>
      <c r="E26" s="86" t="s">
        <v>170</v>
      </c>
      <c r="F26" s="86" t="s">
        <v>171</v>
      </c>
      <c r="G26" s="86" t="s">
        <v>172</v>
      </c>
      <c r="H26" s="85" t="s">
        <v>173</v>
      </c>
      <c r="I26" s="86" t="s">
        <v>174</v>
      </c>
    </row>
    <row r="27" customFormat="false" ht="21.75" hidden="false" customHeight="true" outlineLevel="0" collapsed="false">
      <c r="B27" s="87" t="s">
        <v>175</v>
      </c>
      <c r="C27" s="88" t="s">
        <v>176</v>
      </c>
      <c r="D27" s="89" t="s">
        <v>177</v>
      </c>
      <c r="E27" s="89" t="s">
        <v>178</v>
      </c>
      <c r="F27" s="89" t="s">
        <v>179</v>
      </c>
      <c r="G27" s="89" t="s">
        <v>180</v>
      </c>
      <c r="H27" s="88" t="s">
        <v>181</v>
      </c>
      <c r="I27" s="88" t="s">
        <v>182</v>
      </c>
    </row>
    <row r="28" customFormat="false" ht="21.75" hidden="false" customHeight="true" outlineLevel="0" collapsed="false">
      <c r="B28" s="84" t="s">
        <v>183</v>
      </c>
      <c r="C28" s="85" t="s">
        <v>184</v>
      </c>
      <c r="D28" s="86" t="s">
        <v>185</v>
      </c>
      <c r="E28" s="86" t="s">
        <v>186</v>
      </c>
      <c r="F28" s="86" t="s">
        <v>187</v>
      </c>
      <c r="G28" s="86" t="s">
        <v>188</v>
      </c>
      <c r="H28" s="86" t="s">
        <v>189</v>
      </c>
      <c r="I28" s="85" t="s">
        <v>190</v>
      </c>
    </row>
    <row r="29" customFormat="false" ht="21.75" hidden="false" customHeight="true" outlineLevel="0" collapsed="false">
      <c r="B29" s="90" t="s">
        <v>191</v>
      </c>
      <c r="C29" s="91" t="s">
        <v>192</v>
      </c>
      <c r="D29" s="92" t="s">
        <v>193</v>
      </c>
      <c r="E29" s="92" t="s">
        <v>194</v>
      </c>
      <c r="F29" s="92" t="s">
        <v>195</v>
      </c>
      <c r="G29" s="92" t="s">
        <v>196</v>
      </c>
      <c r="H29" s="91" t="s">
        <v>197</v>
      </c>
      <c r="I29" s="91" t="s">
        <v>198</v>
      </c>
    </row>
    <row r="30" customFormat="false" ht="21.75" hidden="false" customHeight="true" outlineLevel="0" collapsed="false">
      <c r="B30" s="84" t="s">
        <v>199</v>
      </c>
      <c r="C30" s="85" t="s">
        <v>200</v>
      </c>
      <c r="D30" s="86" t="s">
        <v>201</v>
      </c>
      <c r="E30" s="86" t="s">
        <v>202</v>
      </c>
      <c r="F30" s="86" t="s">
        <v>203</v>
      </c>
      <c r="G30" s="86" t="s">
        <v>204</v>
      </c>
      <c r="H30" s="85" t="s">
        <v>205</v>
      </c>
      <c r="I30" s="85" t="s">
        <v>206</v>
      </c>
    </row>
  </sheetData>
  <mergeCells count="4">
    <mergeCell ref="B1:I1"/>
    <mergeCell ref="B3:I3"/>
    <mergeCell ref="B16:I16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B1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15" min="3" style="0" width="8"/>
  </cols>
  <sheetData>
    <row r="1" customFormat="false" ht="39.75" hidden="false" customHeight="true" outlineLevel="0" collapsed="false">
      <c r="B1" s="93" t="s">
        <v>207</v>
      </c>
      <c r="C1" s="93"/>
      <c r="D1" s="93"/>
      <c r="E1" s="93"/>
      <c r="F1" s="93"/>
      <c r="G1" s="93"/>
    </row>
    <row r="3" customFormat="false" ht="25.5" hidden="false" customHeight="true" outlineLevel="0" collapsed="false">
      <c r="B3" s="94" t="s">
        <v>208</v>
      </c>
      <c r="C3" s="94"/>
      <c r="D3" s="94"/>
      <c r="E3" s="94"/>
      <c r="F3" s="94"/>
      <c r="G3" s="94"/>
    </row>
    <row r="4" customFormat="false" ht="19.5" hidden="false" customHeight="true" outlineLevel="0" collapsed="false">
      <c r="B4" s="95" t="s">
        <v>209</v>
      </c>
      <c r="C4" s="96" t="s">
        <v>210</v>
      </c>
      <c r="D4" s="97" t="s">
        <v>211</v>
      </c>
      <c r="E4" s="97"/>
      <c r="F4" s="97"/>
      <c r="G4" s="97"/>
    </row>
    <row r="5" customFormat="false" ht="19.5" hidden="false" customHeight="true" outlineLevel="0" collapsed="false">
      <c r="B5" s="95" t="s">
        <v>212</v>
      </c>
      <c r="C5" s="98" t="s">
        <v>213</v>
      </c>
      <c r="D5" s="97" t="s">
        <v>214</v>
      </c>
      <c r="E5" s="97"/>
      <c r="F5" s="97"/>
      <c r="G5" s="97"/>
    </row>
    <row r="6" customFormat="false" ht="19.5" hidden="false" customHeight="true" outlineLevel="0" collapsed="false">
      <c r="B6" s="99" t="s">
        <v>215</v>
      </c>
      <c r="C6" s="100" t="s">
        <v>216</v>
      </c>
      <c r="D6" s="101" t="s">
        <v>217</v>
      </c>
      <c r="E6" s="101"/>
      <c r="F6" s="101"/>
      <c r="G6" s="101"/>
    </row>
    <row r="7" customFormat="false" ht="19.5" hidden="false" customHeight="true" outlineLevel="0" collapsed="false">
      <c r="B7" s="102" t="s">
        <v>218</v>
      </c>
      <c r="C7" s="103" t="s">
        <v>219</v>
      </c>
      <c r="D7" s="104" t="s">
        <v>220</v>
      </c>
      <c r="E7" s="104"/>
      <c r="F7" s="104"/>
      <c r="G7" s="104"/>
    </row>
    <row r="8" customFormat="false" ht="19.5" hidden="false" customHeight="true" outlineLevel="0" collapsed="false">
      <c r="B8" s="102" t="s">
        <v>221</v>
      </c>
      <c r="C8" s="103" t="s">
        <v>222</v>
      </c>
      <c r="D8" s="104" t="s">
        <v>223</v>
      </c>
      <c r="E8" s="104"/>
      <c r="F8" s="104"/>
      <c r="G8" s="104"/>
    </row>
    <row r="9" customFormat="false" ht="19.5" hidden="false" customHeight="true" outlineLevel="0" collapsed="false">
      <c r="B9" s="37" t="s">
        <v>224</v>
      </c>
      <c r="C9" s="105" t="s">
        <v>225</v>
      </c>
      <c r="D9" s="106" t="s">
        <v>226</v>
      </c>
      <c r="E9" s="106"/>
      <c r="F9" s="106"/>
      <c r="G9" s="106"/>
    </row>
    <row r="10" customFormat="false" ht="9.75" hidden="false" customHeight="true" outlineLevel="0" collapsed="false"/>
    <row r="11" customFormat="false" ht="25.5" hidden="false" customHeight="true" outlineLevel="0" collapsed="false">
      <c r="B11" s="94" t="s">
        <v>227</v>
      </c>
      <c r="C11" s="94"/>
      <c r="D11" s="94"/>
      <c r="E11" s="94"/>
      <c r="F11" s="94"/>
      <c r="G11" s="94"/>
    </row>
    <row r="12" customFormat="false" ht="21.75" hidden="false" customHeight="true" outlineLevel="0" collapsed="false">
      <c r="B12" s="107" t="s">
        <v>148</v>
      </c>
      <c r="C12" s="107" t="s">
        <v>228</v>
      </c>
      <c r="D12" s="107" t="s">
        <v>229</v>
      </c>
      <c r="E12" s="107" t="s">
        <v>230</v>
      </c>
      <c r="F12" s="107" t="s">
        <v>231</v>
      </c>
      <c r="G12" s="107" t="s">
        <v>108</v>
      </c>
      <c r="H12" s="107" t="s">
        <v>150</v>
      </c>
      <c r="I12" s="107" t="s">
        <v>232</v>
      </c>
    </row>
    <row r="13" customFormat="false" ht="19.5" hidden="false" customHeight="true" outlineLevel="0" collapsed="false">
      <c r="B13" s="5" t="s">
        <v>233</v>
      </c>
      <c r="C13" s="43" t="n">
        <v>20</v>
      </c>
      <c r="D13" s="29" t="n">
        <v>0.1</v>
      </c>
      <c r="E13" s="108" t="n">
        <f aca="false">C14*D14</f>
        <v>6</v>
      </c>
      <c r="F13" s="28" t="n">
        <v>800000</v>
      </c>
      <c r="G13" s="30" t="n">
        <f aca="false">E14*F14*0.82*0.08</f>
        <v>1049600</v>
      </c>
      <c r="H13" s="28" t="n">
        <v>0</v>
      </c>
      <c r="I13" s="30" t="n">
        <f aca="false">G14+H14</f>
        <v>2962000</v>
      </c>
    </row>
    <row r="14" customFormat="false" ht="19.5" hidden="false" customHeight="true" outlineLevel="0" collapsed="false">
      <c r="B14" s="8" t="s">
        <v>234</v>
      </c>
      <c r="C14" s="44" t="n">
        <v>40</v>
      </c>
      <c r="D14" s="76" t="n">
        <v>0.15</v>
      </c>
      <c r="E14" s="109" t="n">
        <f aca="false">C15*D15</f>
        <v>16</v>
      </c>
      <c r="F14" s="52" t="n">
        <v>1000000</v>
      </c>
      <c r="G14" s="45" t="n">
        <f aca="false">E15*F15*0.82*0.08</f>
        <v>2952000</v>
      </c>
      <c r="H14" s="52" t="n">
        <v>10000</v>
      </c>
      <c r="I14" s="45" t="n">
        <f aca="false">G15+H15</f>
        <v>10362000</v>
      </c>
    </row>
    <row r="15" customFormat="false" ht="19.5" hidden="false" customHeight="true" outlineLevel="0" collapsed="false">
      <c r="B15" s="32" t="s">
        <v>235</v>
      </c>
      <c r="C15" s="46" t="n">
        <v>80</v>
      </c>
      <c r="D15" s="34" t="n">
        <v>0.2</v>
      </c>
      <c r="E15" s="110" t="n">
        <f aca="false">C16*D16</f>
        <v>37.5</v>
      </c>
      <c r="F15" s="33" t="n">
        <v>1200000</v>
      </c>
      <c r="G15" s="35" t="n">
        <f aca="false">E16*F16*0.82*0.08</f>
        <v>10332000</v>
      </c>
      <c r="H15" s="33" t="n">
        <v>30000</v>
      </c>
      <c r="I15" s="35" t="n">
        <f aca="false">G16+H16</f>
        <v>100000</v>
      </c>
    </row>
    <row r="16" customFormat="false" ht="19.5" hidden="false" customHeight="true" outlineLevel="0" collapsed="false">
      <c r="B16" s="47" t="s">
        <v>236</v>
      </c>
      <c r="C16" s="48" t="n">
        <v>150</v>
      </c>
      <c r="D16" s="61" t="n">
        <v>0.25</v>
      </c>
      <c r="E16" s="111" t="n">
        <f aca="false">C17*D17</f>
        <v>105</v>
      </c>
      <c r="F16" s="55" t="n">
        <v>1500000</v>
      </c>
      <c r="G16" s="49" t="n">
        <f aca="false">E17*F17*0.82*0.08</f>
        <v>0</v>
      </c>
      <c r="H16" s="55" t="n">
        <v>100000</v>
      </c>
      <c r="I16" s="49" t="n">
        <f aca="false">G17+H17</f>
        <v>500000</v>
      </c>
    </row>
    <row r="17" customFormat="false" ht="19.5" hidden="false" customHeight="true" outlineLevel="0" collapsed="false">
      <c r="B17" s="37" t="s">
        <v>237</v>
      </c>
      <c r="C17" s="50" t="n">
        <v>300</v>
      </c>
      <c r="D17" s="39" t="n">
        <v>0.35</v>
      </c>
      <c r="E17" s="112" t="n">
        <f aca="false">C18*D18</f>
        <v>0</v>
      </c>
      <c r="F17" s="38" t="n">
        <v>2000000</v>
      </c>
      <c r="G17" s="40" t="n">
        <f aca="false">E18*F18*0.82*0.1</f>
        <v>0</v>
      </c>
      <c r="H17" s="38" t="n">
        <v>500000</v>
      </c>
      <c r="I17" s="40" t="n">
        <f aca="false">G18+H18</f>
        <v>0</v>
      </c>
    </row>
    <row r="18" customFormat="false" ht="9.75" hidden="false" customHeight="true" outlineLevel="0" collapsed="false"/>
    <row r="19" customFormat="false" ht="25.5" hidden="false" customHeight="true" outlineLevel="0" collapsed="false">
      <c r="B19" s="94" t="s">
        <v>238</v>
      </c>
      <c r="C19" s="94"/>
      <c r="D19" s="94"/>
      <c r="E19" s="94"/>
      <c r="F19" s="94"/>
      <c r="G19" s="94"/>
    </row>
    <row r="20" customFormat="false" ht="21.75" hidden="false" customHeight="true" outlineLevel="0" collapsed="false">
      <c r="B20" s="107" t="s">
        <v>239</v>
      </c>
      <c r="C20" s="113" t="s">
        <v>240</v>
      </c>
      <c r="D20" s="113" t="s">
        <v>241</v>
      </c>
      <c r="E20" s="113" t="s">
        <v>242</v>
      </c>
      <c r="F20" s="113" t="s">
        <v>243</v>
      </c>
      <c r="G20" s="113" t="s">
        <v>244</v>
      </c>
      <c r="H20" s="113" t="s">
        <v>245</v>
      </c>
      <c r="I20" s="113" t="s">
        <v>246</v>
      </c>
      <c r="J20" s="113" t="s">
        <v>247</v>
      </c>
      <c r="K20" s="113" t="s">
        <v>248</v>
      </c>
      <c r="L20" s="113" t="s">
        <v>249</v>
      </c>
      <c r="M20" s="113" t="s">
        <v>250</v>
      </c>
      <c r="N20" s="113" t="s">
        <v>251</v>
      </c>
      <c r="O20" s="107" t="s">
        <v>252</v>
      </c>
    </row>
    <row r="21" customFormat="false" ht="19.5" hidden="false" customHeight="true" outlineLevel="0" collapsed="false">
      <c r="B21" s="114" t="s">
        <v>253</v>
      </c>
      <c r="C21" s="115" t="n">
        <v>2</v>
      </c>
      <c r="D21" s="115" t="n">
        <v>3</v>
      </c>
      <c r="E21" s="115" t="n">
        <v>4</v>
      </c>
      <c r="F21" s="115" t="n">
        <v>5</v>
      </c>
      <c r="G21" s="115" t="n">
        <v>6</v>
      </c>
      <c r="H21" s="115" t="n">
        <v>7</v>
      </c>
      <c r="I21" s="115" t="n">
        <v>8</v>
      </c>
      <c r="J21" s="115" t="n">
        <v>9</v>
      </c>
      <c r="K21" s="115" t="n">
        <v>10</v>
      </c>
      <c r="L21" s="115" t="n">
        <v>11</v>
      </c>
      <c r="M21" s="115" t="n">
        <v>12</v>
      </c>
      <c r="N21" s="115" t="n">
        <v>13</v>
      </c>
      <c r="O21" s="116" t="n">
        <f aca="false">SUM(C21:N21)</f>
        <v>90</v>
      </c>
    </row>
    <row r="22" customFormat="false" ht="19.5" hidden="false" customHeight="true" outlineLevel="0" collapsed="false">
      <c r="B22" s="117" t="s">
        <v>254</v>
      </c>
      <c r="C22" s="118" t="n">
        <v>1</v>
      </c>
      <c r="D22" s="118" t="n">
        <v>1</v>
      </c>
      <c r="E22" s="118" t="n">
        <v>2</v>
      </c>
      <c r="F22" s="118" t="n">
        <v>2</v>
      </c>
      <c r="G22" s="118" t="n">
        <v>3</v>
      </c>
      <c r="H22" s="118" t="n">
        <v>3</v>
      </c>
      <c r="I22" s="118" t="n">
        <v>4</v>
      </c>
      <c r="J22" s="118" t="n">
        <v>4</v>
      </c>
      <c r="K22" s="118" t="n">
        <v>5</v>
      </c>
      <c r="L22" s="118" t="n">
        <v>5</v>
      </c>
      <c r="M22" s="118" t="n">
        <v>6</v>
      </c>
      <c r="N22" s="118" t="n">
        <v>6</v>
      </c>
      <c r="O22" s="119" t="n">
        <f aca="false">SUM(C22:N22)</f>
        <v>42</v>
      </c>
    </row>
    <row r="23" customFormat="false" ht="19.5" hidden="false" customHeight="true" outlineLevel="0" collapsed="false">
      <c r="B23" s="64" t="s">
        <v>255</v>
      </c>
      <c r="C23" s="120" t="n">
        <v>1</v>
      </c>
      <c r="D23" s="120" t="n">
        <v>1</v>
      </c>
      <c r="E23" s="120" t="n">
        <v>2</v>
      </c>
      <c r="F23" s="120" t="n">
        <v>2</v>
      </c>
      <c r="G23" s="120" t="n">
        <v>3</v>
      </c>
      <c r="H23" s="120" t="n">
        <v>4</v>
      </c>
      <c r="I23" s="120" t="n">
        <v>4</v>
      </c>
      <c r="J23" s="120" t="n">
        <v>5</v>
      </c>
      <c r="K23" s="120" t="n">
        <v>5</v>
      </c>
      <c r="L23" s="120" t="n">
        <v>6</v>
      </c>
      <c r="M23" s="120" t="n">
        <v>6</v>
      </c>
      <c r="N23" s="120" t="n">
        <v>7</v>
      </c>
      <c r="O23" s="121" t="n">
        <f aca="false">SUM(C23:N23)</f>
        <v>46</v>
      </c>
    </row>
    <row r="24" customFormat="false" ht="19.5" hidden="false" customHeight="true" outlineLevel="0" collapsed="false">
      <c r="B24" s="122" t="s">
        <v>256</v>
      </c>
      <c r="C24" s="123" t="n">
        <f aca="false">C21*32000+C22*64000+C23*82000</f>
        <v>210000</v>
      </c>
      <c r="D24" s="123" t="n">
        <f aca="false">D21*32000+D22*64000+D23*82000</f>
        <v>242000</v>
      </c>
      <c r="E24" s="123" t="n">
        <f aca="false">E21*32000+E22*64000+E23*82000</f>
        <v>420000</v>
      </c>
      <c r="F24" s="123" t="n">
        <f aca="false">F21*32000+F22*64000+F23*82000</f>
        <v>452000</v>
      </c>
      <c r="G24" s="123" t="n">
        <f aca="false">G21*32000+G22*64000+G23*82000</f>
        <v>630000</v>
      </c>
      <c r="H24" s="123" t="n">
        <f aca="false">H21*32000+H22*64000+H23*82000</f>
        <v>744000</v>
      </c>
      <c r="I24" s="123" t="n">
        <f aca="false">I21*32000+I22*64000+I23*82000</f>
        <v>840000</v>
      </c>
      <c r="J24" s="123" t="n">
        <f aca="false">J21*32000+J22*64000+J23*82000</f>
        <v>954000</v>
      </c>
      <c r="K24" s="123" t="n">
        <f aca="false">K21*32000+K22*64000+K23*82000</f>
        <v>1050000</v>
      </c>
      <c r="L24" s="123" t="n">
        <f aca="false">L21*32000+L22*64000+L23*82000</f>
        <v>1164000</v>
      </c>
      <c r="M24" s="123" t="n">
        <f aca="false">M21*32000+M22*64000+M23*82000</f>
        <v>1260000</v>
      </c>
      <c r="N24" s="123" t="n">
        <f aca="false">N21*32000+N22*64000+N23*82000</f>
        <v>1374000</v>
      </c>
      <c r="O24" s="124" t="n">
        <f aca="false">SUM(C24:N24)</f>
        <v>9340000</v>
      </c>
    </row>
  </sheetData>
  <mergeCells count="10">
    <mergeCell ref="B1:G1"/>
    <mergeCell ref="B3:G3"/>
    <mergeCell ref="D4:G4"/>
    <mergeCell ref="D5:G5"/>
    <mergeCell ref="D6:G6"/>
    <mergeCell ref="D7:G7"/>
    <mergeCell ref="D8:G8"/>
    <mergeCell ref="D9:G9"/>
    <mergeCell ref="B11:G11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B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"/>
  </cols>
  <sheetData>
    <row r="1" customFormat="false" ht="48" hidden="false" customHeight="true" outlineLevel="0" collapsed="false">
      <c r="B1" s="125" t="s">
        <v>257</v>
      </c>
      <c r="C1" s="125"/>
      <c r="D1" s="125"/>
      <c r="E1" s="125"/>
    </row>
    <row r="2" customFormat="false" ht="30" hidden="false" customHeight="true" outlineLevel="0" collapsed="false">
      <c r="B2" s="126" t="s">
        <v>258</v>
      </c>
      <c r="C2" s="126"/>
      <c r="D2" s="126"/>
      <c r="E2" s="126"/>
    </row>
    <row r="3" customFormat="false" ht="9.75" hidden="false" customHeight="true" outlineLevel="0" collapsed="false"/>
    <row r="4" customFormat="false" ht="31.5" hidden="false" customHeight="true" outlineLevel="0" collapsed="false">
      <c r="B4" s="127" t="s">
        <v>259</v>
      </c>
      <c r="C4" s="127"/>
      <c r="D4" s="127"/>
      <c r="E4" s="127"/>
    </row>
    <row r="5" customFormat="false" ht="25.5" hidden="false" customHeight="true" outlineLevel="0" collapsed="false">
      <c r="B5" s="128" t="s">
        <v>260</v>
      </c>
      <c r="C5" s="129" t="n">
        <v>10</v>
      </c>
      <c r="D5" s="130" t="s">
        <v>261</v>
      </c>
    </row>
    <row r="6" customFormat="false" ht="25.5" hidden="false" customHeight="true" outlineLevel="0" collapsed="false">
      <c r="B6" s="128" t="s">
        <v>262</v>
      </c>
      <c r="C6" s="129" t="n">
        <v>5</v>
      </c>
      <c r="D6" s="130" t="s">
        <v>261</v>
      </c>
    </row>
    <row r="7" customFormat="false" ht="25.5" hidden="false" customHeight="true" outlineLevel="0" collapsed="false">
      <c r="B7" s="128" t="s">
        <v>263</v>
      </c>
      <c r="C7" s="131" t="n">
        <v>3000000</v>
      </c>
      <c r="D7" s="130" t="s">
        <v>264</v>
      </c>
    </row>
    <row r="8" customFormat="false" ht="25.5" hidden="false" customHeight="true" outlineLevel="0" collapsed="false">
      <c r="B8" s="128" t="s">
        <v>265</v>
      </c>
      <c r="C8" s="131" t="n">
        <v>2000000</v>
      </c>
      <c r="D8" s="130" t="s">
        <v>264</v>
      </c>
    </row>
    <row r="9" customFormat="false" ht="25.5" hidden="false" customHeight="true" outlineLevel="0" collapsed="false">
      <c r="B9" s="132" t="s">
        <v>266</v>
      </c>
      <c r="C9" s="131" t="n">
        <v>1000000</v>
      </c>
      <c r="D9" s="130" t="s">
        <v>264</v>
      </c>
    </row>
    <row r="10" customFormat="false" ht="25.5" hidden="false" customHeight="true" outlineLevel="0" collapsed="false">
      <c r="B10" s="132" t="s">
        <v>267</v>
      </c>
      <c r="C10" s="131" t="n">
        <v>1000000</v>
      </c>
      <c r="D10" s="130" t="s">
        <v>264</v>
      </c>
    </row>
    <row r="11" customFormat="false" ht="25.5" hidden="false" customHeight="true" outlineLevel="0" collapsed="false">
      <c r="B11" s="128" t="s">
        <v>268</v>
      </c>
      <c r="C11" s="131" t="n">
        <v>2000000</v>
      </c>
      <c r="D11" s="130" t="s">
        <v>264</v>
      </c>
    </row>
    <row r="12" customFormat="false" ht="25.5" hidden="false" customHeight="true" outlineLevel="0" collapsed="false">
      <c r="B12" s="128" t="s">
        <v>269</v>
      </c>
      <c r="C12" s="129" t="n">
        <v>3</v>
      </c>
      <c r="D12" s="130" t="s">
        <v>261</v>
      </c>
    </row>
    <row r="13" customFormat="false" ht="25.5" hidden="false" customHeight="true" outlineLevel="0" collapsed="false">
      <c r="B13" s="128" t="s">
        <v>270</v>
      </c>
      <c r="C13" s="131" t="n">
        <v>1200000</v>
      </c>
      <c r="D13" s="130" t="s">
        <v>264</v>
      </c>
    </row>
    <row r="14" customFormat="false" ht="9.75" hidden="false" customHeight="true" outlineLevel="0" collapsed="false"/>
    <row r="15" customFormat="false" ht="31.5" hidden="false" customHeight="true" outlineLevel="0" collapsed="false">
      <c r="B15" s="133" t="s">
        <v>271</v>
      </c>
      <c r="C15" s="133"/>
      <c r="D15" s="133"/>
      <c r="E15" s="133"/>
    </row>
    <row r="16" customFormat="false" ht="21.75" hidden="false" customHeight="true" outlineLevel="0" collapsed="false">
      <c r="B16" s="134" t="s">
        <v>3</v>
      </c>
      <c r="C16" s="134" t="s">
        <v>272</v>
      </c>
      <c r="D16" s="135" t="s">
        <v>273</v>
      </c>
      <c r="E16" s="135"/>
    </row>
    <row r="17" customFormat="false" ht="24" hidden="false" customHeight="true" outlineLevel="0" collapsed="false">
      <c r="B17" s="136" t="s">
        <v>274</v>
      </c>
      <c r="C17" s="137" t="s">
        <v>275</v>
      </c>
      <c r="D17" s="138" t="n">
        <f aca="false">C5*32000</f>
        <v>320000</v>
      </c>
      <c r="E17" s="138"/>
    </row>
    <row r="18" customFormat="false" ht="24" hidden="false" customHeight="true" outlineLevel="0" collapsed="false">
      <c r="B18" s="139" t="s">
        <v>276</v>
      </c>
      <c r="C18" s="130" t="s">
        <v>277</v>
      </c>
      <c r="D18" s="140" t="n">
        <f aca="false">C6*64000</f>
        <v>320000</v>
      </c>
      <c r="E18" s="140"/>
    </row>
    <row r="19" customFormat="false" ht="24" hidden="false" customHeight="true" outlineLevel="0" collapsed="false">
      <c r="B19" s="136" t="s">
        <v>278</v>
      </c>
      <c r="C19" s="137" t="s">
        <v>279</v>
      </c>
      <c r="D19" s="138" t="n">
        <f aca="false">C7*0.1</f>
        <v>300000</v>
      </c>
      <c r="E19" s="138"/>
    </row>
    <row r="20" customFormat="false" ht="24" hidden="false" customHeight="true" outlineLevel="0" collapsed="false">
      <c r="B20" s="139" t="s">
        <v>280</v>
      </c>
      <c r="C20" s="130" t="s">
        <v>281</v>
      </c>
      <c r="D20" s="140" t="n">
        <f aca="false">C8*0.06</f>
        <v>120000</v>
      </c>
      <c r="E20" s="140"/>
    </row>
    <row r="21" customFormat="false" ht="24" hidden="false" customHeight="true" outlineLevel="0" collapsed="false">
      <c r="B21" s="141" t="s">
        <v>282</v>
      </c>
      <c r="C21" s="137" t="s">
        <v>279</v>
      </c>
      <c r="D21" s="138" t="n">
        <f aca="false">C9*0.1</f>
        <v>100000</v>
      </c>
      <c r="E21" s="138"/>
    </row>
    <row r="22" customFormat="false" ht="24" hidden="false" customHeight="true" outlineLevel="0" collapsed="false">
      <c r="B22" s="142" t="s">
        <v>283</v>
      </c>
      <c r="C22" s="130" t="s">
        <v>284</v>
      </c>
      <c r="D22" s="140" t="n">
        <f aca="false">C10*0.08</f>
        <v>80000</v>
      </c>
      <c r="E22" s="140"/>
    </row>
    <row r="23" customFormat="false" ht="24" hidden="false" customHeight="true" outlineLevel="0" collapsed="false">
      <c r="B23" s="136" t="s">
        <v>285</v>
      </c>
      <c r="C23" s="137" t="s">
        <v>286</v>
      </c>
      <c r="D23" s="138" t="n">
        <f aca="false">C11*0.05</f>
        <v>100000</v>
      </c>
      <c r="E23" s="138"/>
    </row>
    <row r="24" customFormat="false" ht="24" hidden="false" customHeight="true" outlineLevel="0" collapsed="false">
      <c r="B24" s="143" t="s">
        <v>287</v>
      </c>
      <c r="C24" s="144" t="s">
        <v>288</v>
      </c>
      <c r="D24" s="145" t="n">
        <f aca="false">C12*C13*0.82*0.08</f>
        <v>236160</v>
      </c>
      <c r="E24" s="145"/>
    </row>
    <row r="25" customFormat="false" ht="39.75" hidden="false" customHeight="true" outlineLevel="0" collapsed="false">
      <c r="B25" s="146" t="s">
        <v>289</v>
      </c>
      <c r="C25" s="146"/>
      <c r="D25" s="147" t="n">
        <f aca="false">D17+D18+D19+D20+D21+D22+D23+D24</f>
        <v>1576160</v>
      </c>
      <c r="E25" s="147"/>
    </row>
    <row r="26" customFormat="false" ht="33.75" hidden="false" customHeight="true" outlineLevel="0" collapsed="false">
      <c r="B26" s="148" t="n">
        <f aca="false">D25*12</f>
        <v>18913920</v>
      </c>
      <c r="C26" s="148"/>
      <c r="D26" s="148"/>
      <c r="E26" s="148"/>
    </row>
    <row r="27" customFormat="false" ht="9.75" hidden="false" customHeight="true" outlineLevel="0" collapsed="false"/>
    <row r="28" customFormat="false" ht="30" hidden="false" customHeight="true" outlineLevel="0" collapsed="false">
      <c r="B28" s="149" t="s">
        <v>290</v>
      </c>
      <c r="C28" s="149"/>
      <c r="D28" s="149"/>
      <c r="E28" s="149"/>
    </row>
    <row r="29" customFormat="false" ht="24" hidden="false" customHeight="true" outlineLevel="0" collapsed="false">
      <c r="B29" s="150" t="s">
        <v>291</v>
      </c>
      <c r="C29" s="105" t="s">
        <v>292</v>
      </c>
      <c r="D29" s="151" t="s">
        <v>293</v>
      </c>
      <c r="E29" s="151"/>
    </row>
    <row r="30" customFormat="false" ht="24" hidden="false" customHeight="true" outlineLevel="0" collapsed="false">
      <c r="B30" s="152" t="s">
        <v>294</v>
      </c>
      <c r="C30" s="153" t="s">
        <v>295</v>
      </c>
      <c r="D30" s="154" t="s">
        <v>296</v>
      </c>
      <c r="E30" s="154"/>
    </row>
    <row r="31" customFormat="false" ht="24" hidden="false" customHeight="true" outlineLevel="0" collapsed="false">
      <c r="B31" s="155" t="s">
        <v>297</v>
      </c>
      <c r="C31" s="156" t="s">
        <v>298</v>
      </c>
      <c r="D31" s="157" t="s">
        <v>299</v>
      </c>
      <c r="E31" s="157"/>
    </row>
    <row r="32" customFormat="false" ht="24" hidden="false" customHeight="true" outlineLevel="0" collapsed="false">
      <c r="B32" s="128" t="s">
        <v>300</v>
      </c>
      <c r="C32" s="158" t="s">
        <v>301</v>
      </c>
      <c r="D32" s="159" t="s">
        <v>302</v>
      </c>
      <c r="E32" s="159"/>
    </row>
    <row r="33" customFormat="false" ht="24" hidden="false" customHeight="true" outlineLevel="0" collapsed="false">
      <c r="B33" s="160" t="s">
        <v>303</v>
      </c>
      <c r="C33" s="161" t="s">
        <v>304</v>
      </c>
      <c r="D33" s="162" t="s">
        <v>305</v>
      </c>
      <c r="E33" s="162"/>
    </row>
  </sheetData>
  <mergeCells count="21">
    <mergeCell ref="B1:E1"/>
    <mergeCell ref="B2:E2"/>
    <mergeCell ref="B4:E4"/>
    <mergeCell ref="B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B26:E26"/>
    <mergeCell ref="B28:E28"/>
    <mergeCell ref="D29:E29"/>
    <mergeCell ref="D30:E30"/>
    <mergeCell ref="D31:E31"/>
    <mergeCell ref="D32:E32"/>
    <mergeCell ref="D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B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22"/>
    <col collapsed="false" customWidth="true" hidden="false" outlineLevel="0" max="6" min="6" style="0" width="2"/>
  </cols>
  <sheetData>
    <row r="1" customFormat="false" ht="39.75" hidden="false" customHeight="true" outlineLevel="0" collapsed="false">
      <c r="B1" s="163" t="s">
        <v>306</v>
      </c>
      <c r="C1" s="163"/>
      <c r="D1" s="163"/>
      <c r="E1" s="163"/>
    </row>
    <row r="3" customFormat="false" ht="27.75" hidden="false" customHeight="true" outlineLevel="0" collapsed="false">
      <c r="B3" s="164" t="s">
        <v>307</v>
      </c>
      <c r="C3" s="164"/>
      <c r="D3" s="164"/>
      <c r="E3" s="164"/>
    </row>
    <row r="4" customFormat="false" ht="21.75" hidden="false" customHeight="true" outlineLevel="0" collapsed="false">
      <c r="B4" s="165" t="s">
        <v>308</v>
      </c>
      <c r="C4" s="166" t="s">
        <v>309</v>
      </c>
      <c r="D4" s="166"/>
      <c r="E4" s="165" t="s">
        <v>310</v>
      </c>
    </row>
    <row r="5" customFormat="false" ht="39.75" hidden="false" customHeight="true" outlineLevel="0" collapsed="false">
      <c r="B5" s="167" t="s">
        <v>311</v>
      </c>
      <c r="C5" s="168" t="s">
        <v>312</v>
      </c>
      <c r="D5" s="168"/>
      <c r="E5" s="169" t="s">
        <v>313</v>
      </c>
    </row>
    <row r="6" customFormat="false" ht="39.75" hidden="false" customHeight="true" outlineLevel="0" collapsed="false">
      <c r="B6" s="170" t="s">
        <v>314</v>
      </c>
      <c r="C6" s="18" t="s">
        <v>315</v>
      </c>
      <c r="D6" s="18"/>
      <c r="E6" s="171" t="s">
        <v>316</v>
      </c>
    </row>
    <row r="7" customFormat="false" ht="39.75" hidden="false" customHeight="true" outlineLevel="0" collapsed="false">
      <c r="B7" s="167" t="s">
        <v>317</v>
      </c>
      <c r="C7" s="168" t="s">
        <v>318</v>
      </c>
      <c r="D7" s="168"/>
      <c r="E7" s="169" t="s">
        <v>319</v>
      </c>
    </row>
    <row r="8" customFormat="false" ht="39.75" hidden="false" customHeight="true" outlineLevel="0" collapsed="false">
      <c r="B8" s="170" t="s">
        <v>320</v>
      </c>
      <c r="C8" s="18" t="s">
        <v>321</v>
      </c>
      <c r="D8" s="18"/>
      <c r="E8" s="171" t="s">
        <v>322</v>
      </c>
    </row>
    <row r="9" customFormat="false" ht="39.75" hidden="false" customHeight="true" outlineLevel="0" collapsed="false">
      <c r="B9" s="167" t="s">
        <v>323</v>
      </c>
      <c r="C9" s="168" t="s">
        <v>324</v>
      </c>
      <c r="D9" s="168"/>
      <c r="E9" s="169" t="s">
        <v>325</v>
      </c>
    </row>
    <row r="10" customFormat="false" ht="39.75" hidden="false" customHeight="true" outlineLevel="0" collapsed="false">
      <c r="B10" s="170" t="s">
        <v>326</v>
      </c>
      <c r="C10" s="18" t="s">
        <v>327</v>
      </c>
      <c r="D10" s="18"/>
      <c r="E10" s="172" t="s">
        <v>328</v>
      </c>
    </row>
    <row r="11" customFormat="false" ht="39.75" hidden="false" customHeight="true" outlineLevel="0" collapsed="false">
      <c r="B11" s="167" t="s">
        <v>329</v>
      </c>
      <c r="C11" s="24" t="s">
        <v>330</v>
      </c>
      <c r="D11" s="24"/>
      <c r="E11" s="169" t="s">
        <v>331</v>
      </c>
    </row>
    <row r="12" customFormat="false" ht="39.75" hidden="false" customHeight="true" outlineLevel="0" collapsed="false">
      <c r="B12" s="170" t="s">
        <v>332</v>
      </c>
      <c r="C12" s="18" t="s">
        <v>333</v>
      </c>
      <c r="D12" s="18"/>
      <c r="E12" s="171" t="s">
        <v>334</v>
      </c>
    </row>
    <row r="13" customFormat="false" ht="9.75" hidden="false" customHeight="true" outlineLevel="0" collapsed="false"/>
    <row r="14" customFormat="false" ht="27.75" hidden="false" customHeight="true" outlineLevel="0" collapsed="false">
      <c r="B14" s="3" t="s">
        <v>335</v>
      </c>
      <c r="C14" s="3"/>
      <c r="D14" s="3"/>
      <c r="E14" s="3"/>
    </row>
    <row r="15" customFormat="false" ht="21.75" hidden="false" customHeight="true" outlineLevel="0" collapsed="false">
      <c r="B15" s="4" t="s">
        <v>336</v>
      </c>
      <c r="C15" s="173" t="s">
        <v>337</v>
      </c>
      <c r="D15" s="173" t="s">
        <v>338</v>
      </c>
      <c r="E15" s="173" t="s">
        <v>339</v>
      </c>
      <c r="F15" s="173" t="s">
        <v>340</v>
      </c>
    </row>
    <row r="16" customFormat="false" ht="21.75" hidden="false" customHeight="true" outlineLevel="0" collapsed="false">
      <c r="B16" s="5" t="s">
        <v>341</v>
      </c>
      <c r="C16" s="7" t="s">
        <v>342</v>
      </c>
      <c r="D16" s="7" t="s">
        <v>343</v>
      </c>
      <c r="E16" s="7" t="s">
        <v>344</v>
      </c>
      <c r="F16" s="174" t="s">
        <v>345</v>
      </c>
    </row>
    <row r="17" customFormat="false" ht="21.75" hidden="false" customHeight="true" outlineLevel="0" collapsed="false">
      <c r="B17" s="8" t="s">
        <v>346</v>
      </c>
      <c r="C17" s="10" t="s">
        <v>347</v>
      </c>
      <c r="D17" s="10" t="s">
        <v>348</v>
      </c>
      <c r="E17" s="10" t="s">
        <v>349</v>
      </c>
      <c r="F17" s="175" t="s">
        <v>350</v>
      </c>
    </row>
    <row r="18" customFormat="false" ht="21.75" hidden="false" customHeight="true" outlineLevel="0" collapsed="false">
      <c r="B18" s="5" t="s">
        <v>351</v>
      </c>
      <c r="C18" s="7" t="s">
        <v>352</v>
      </c>
      <c r="D18" s="7" t="s">
        <v>36</v>
      </c>
      <c r="E18" s="7" t="s">
        <v>353</v>
      </c>
      <c r="F18" s="174" t="s">
        <v>354</v>
      </c>
    </row>
    <row r="19" customFormat="false" ht="21.75" hidden="false" customHeight="true" outlineLevel="0" collapsed="false">
      <c r="B19" s="8" t="s">
        <v>355</v>
      </c>
      <c r="C19" s="10" t="s">
        <v>356</v>
      </c>
      <c r="D19" s="10" t="s">
        <v>357</v>
      </c>
      <c r="E19" s="10" t="s">
        <v>358</v>
      </c>
      <c r="F19" s="175" t="s">
        <v>359</v>
      </c>
    </row>
    <row r="20" customFormat="false" ht="21.75" hidden="false" customHeight="true" outlineLevel="0" collapsed="false">
      <c r="B20" s="5" t="s">
        <v>360</v>
      </c>
      <c r="C20" s="7" t="s">
        <v>361</v>
      </c>
      <c r="D20" s="7" t="s">
        <v>362</v>
      </c>
      <c r="E20" s="7" t="s">
        <v>363</v>
      </c>
      <c r="F20" s="174" t="s">
        <v>364</v>
      </c>
    </row>
    <row r="21" customFormat="false" ht="21.75" hidden="false" customHeight="true" outlineLevel="0" collapsed="false">
      <c r="B21" s="122" t="s">
        <v>365</v>
      </c>
      <c r="C21" s="176" t="s">
        <v>366</v>
      </c>
      <c r="D21" s="176" t="s">
        <v>367</v>
      </c>
      <c r="E21" s="176" t="s">
        <v>368</v>
      </c>
      <c r="F21" s="177" t="s">
        <v>369</v>
      </c>
    </row>
    <row r="22" customFormat="false" ht="9.75" hidden="false" customHeight="true" outlineLevel="0" collapsed="false"/>
    <row r="23" customFormat="false" ht="27.75" hidden="false" customHeight="true" outlineLevel="0" collapsed="false">
      <c r="B23" s="178" t="s">
        <v>370</v>
      </c>
      <c r="C23" s="178"/>
      <c r="D23" s="178"/>
      <c r="E23" s="178"/>
    </row>
    <row r="24" customFormat="false" ht="21.75" hidden="false" customHeight="true" outlineLevel="0" collapsed="false">
      <c r="B24" s="179" t="s">
        <v>371</v>
      </c>
      <c r="C24" s="179" t="s">
        <v>372</v>
      </c>
      <c r="D24" s="179" t="s">
        <v>373</v>
      </c>
      <c r="E24" s="179" t="s">
        <v>229</v>
      </c>
      <c r="F24" s="179" t="s">
        <v>374</v>
      </c>
    </row>
    <row r="25" customFormat="false" ht="21.75" hidden="false" customHeight="true" outlineLevel="0" collapsed="false">
      <c r="B25" s="5" t="s">
        <v>375</v>
      </c>
      <c r="C25" s="6" t="s">
        <v>376</v>
      </c>
      <c r="D25" s="7" t="s">
        <v>377</v>
      </c>
      <c r="E25" s="7" t="s">
        <v>378</v>
      </c>
      <c r="F25" s="7" t="s">
        <v>379</v>
      </c>
    </row>
    <row r="26" customFormat="false" ht="21.75" hidden="false" customHeight="true" outlineLevel="0" collapsed="false">
      <c r="B26" s="8" t="s">
        <v>380</v>
      </c>
      <c r="C26" s="9" t="s">
        <v>381</v>
      </c>
      <c r="D26" s="10" t="s">
        <v>382</v>
      </c>
      <c r="E26" s="10" t="s">
        <v>383</v>
      </c>
      <c r="F26" s="10" t="s">
        <v>384</v>
      </c>
    </row>
    <row r="27" customFormat="false" ht="21.75" hidden="false" customHeight="true" outlineLevel="0" collapsed="false">
      <c r="B27" s="5" t="s">
        <v>385</v>
      </c>
      <c r="C27" s="6" t="s">
        <v>386</v>
      </c>
      <c r="D27" s="7" t="s">
        <v>387</v>
      </c>
      <c r="E27" s="7" t="s">
        <v>388</v>
      </c>
      <c r="F27" s="7" t="s">
        <v>389</v>
      </c>
    </row>
    <row r="28" customFormat="false" ht="21.75" hidden="false" customHeight="true" outlineLevel="0" collapsed="false">
      <c r="B28" s="8" t="s">
        <v>390</v>
      </c>
      <c r="C28" s="9" t="s">
        <v>391</v>
      </c>
      <c r="D28" s="10" t="s">
        <v>392</v>
      </c>
      <c r="E28" s="10" t="s">
        <v>393</v>
      </c>
      <c r="F28" s="10" t="s">
        <v>394</v>
      </c>
    </row>
    <row r="29" customFormat="false" ht="21.75" hidden="false" customHeight="true" outlineLevel="0" collapsed="false">
      <c r="B29" s="5" t="s">
        <v>395</v>
      </c>
      <c r="C29" s="6" t="s">
        <v>396</v>
      </c>
      <c r="D29" s="7" t="s">
        <v>397</v>
      </c>
      <c r="E29" s="7" t="s">
        <v>222</v>
      </c>
      <c r="F29" s="7" t="s">
        <v>398</v>
      </c>
    </row>
    <row r="30" customFormat="false" ht="21.75" hidden="false" customHeight="true" outlineLevel="0" collapsed="false">
      <c r="B30" s="37" t="s">
        <v>399</v>
      </c>
      <c r="C30" s="180" t="s">
        <v>400</v>
      </c>
      <c r="D30" s="180" t="s">
        <v>401</v>
      </c>
      <c r="E30" s="181" t="s">
        <v>402</v>
      </c>
      <c r="F30" s="181" t="s">
        <v>403</v>
      </c>
    </row>
  </sheetData>
  <mergeCells count="13">
    <mergeCell ref="B1:E1"/>
    <mergeCell ref="B3:E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B14:E14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404</v>
      </c>
      <c r="B1" s="0" t="s">
        <v>405</v>
      </c>
      <c r="C1" s="0" t="s">
        <v>406</v>
      </c>
      <c r="D1" s="0" t="s">
        <v>407</v>
      </c>
      <c r="E1" s="0" t="s">
        <v>408</v>
      </c>
      <c r="F1" s="0" t="s">
        <v>409</v>
      </c>
    </row>
    <row r="2" customFormat="false" ht="15" hidden="false" customHeight="false" outlineLevel="0" collapsed="false">
      <c r="A2" s="0" t="s">
        <v>410</v>
      </c>
      <c r="B2" s="0" t="s">
        <v>411</v>
      </c>
      <c r="C2" s="0" t="n">
        <v>0.07</v>
      </c>
      <c r="D2" s="0" t="n">
        <v>0.2</v>
      </c>
      <c r="E2" s="0" t="n">
        <v>0.65</v>
      </c>
      <c r="F2" s="0" t="n">
        <v>0.15</v>
      </c>
    </row>
    <row r="3" customFormat="false" ht="15" hidden="false" customHeight="false" outlineLevel="0" collapsed="false">
      <c r="A3" s="0" t="s">
        <v>410</v>
      </c>
      <c r="B3" s="0" t="s">
        <v>412</v>
      </c>
      <c r="C3" s="0" t="n">
        <v>0.05</v>
      </c>
      <c r="D3" s="0" t="n">
        <v>0.25</v>
      </c>
      <c r="E3" s="0" t="n">
        <v>0.6</v>
      </c>
      <c r="F3" s="0" t="n">
        <v>0.15</v>
      </c>
    </row>
    <row r="4" customFormat="false" ht="15" hidden="false" customHeight="false" outlineLevel="0" collapsed="false">
      <c r="A4" s="0" t="s">
        <v>413</v>
      </c>
      <c r="B4" s="0" t="s">
        <v>414</v>
      </c>
      <c r="C4" s="0" t="n">
        <v>9900</v>
      </c>
      <c r="D4" s="0" t="n">
        <v>0.3</v>
      </c>
      <c r="E4" s="0" t="n">
        <v>0</v>
      </c>
      <c r="F4" s="0" t="n">
        <v>0.7</v>
      </c>
    </row>
    <row r="5" customFormat="false" ht="15" hidden="false" customHeight="false" outlineLevel="0" collapsed="false">
      <c r="A5" s="0" t="s">
        <v>413</v>
      </c>
      <c r="B5" s="0" t="s">
        <v>415</v>
      </c>
      <c r="C5" s="0" t="n">
        <v>33000</v>
      </c>
      <c r="D5" s="0" t="n">
        <v>0.2</v>
      </c>
      <c r="E5" s="0" t="n">
        <v>0</v>
      </c>
      <c r="F5" s="0" t="n">
        <v>0.8</v>
      </c>
    </row>
    <row r="7" customFormat="false" ht="15" hidden="false" customHeight="false" outlineLevel="0" collapsed="false">
      <c r="A7" s="0" t="s">
        <v>416</v>
      </c>
      <c r="B7" s="0" t="s">
        <v>417</v>
      </c>
      <c r="C7" s="0" t="s">
        <v>418</v>
      </c>
      <c r="D7" s="0" t="s">
        <v>419</v>
      </c>
    </row>
    <row r="8" customFormat="false" ht="15" hidden="false" customHeight="false" outlineLevel="0" collapsed="false">
      <c r="A8" s="0" t="s">
        <v>420</v>
      </c>
      <c r="B8" s="0" t="n">
        <v>800</v>
      </c>
      <c r="C8" s="0" t="e">
        <f aca="false">B7*C4</f>
        <v>#VALUE!</v>
      </c>
      <c r="D8" s="0" t="e">
        <f aca="false">C7*12</f>
        <v>#VALUE!</v>
      </c>
    </row>
    <row r="9" customFormat="false" ht="15" hidden="false" customHeight="false" outlineLevel="0" collapsed="false">
      <c r="A9" s="0" t="s">
        <v>421</v>
      </c>
      <c r="B9" s="0" t="n">
        <v>200</v>
      </c>
      <c r="C9" s="0" t="n">
        <f aca="false">B8*C5</f>
        <v>26400000</v>
      </c>
      <c r="D9" s="0" t="e">
        <f aca="false">C8*12</f>
        <v>#VALUE!</v>
      </c>
    </row>
    <row r="10" customFormat="false" ht="15" hidden="false" customHeight="false" outlineLevel="0" collapsed="false">
      <c r="A10" s="0" t="s">
        <v>422</v>
      </c>
      <c r="C10" s="0" t="e">
        <f aca="false">C7+C8</f>
        <v>#VALUE!</v>
      </c>
      <c r="D10" s="0" t="e">
        <f aca="false">D7+D8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423</v>
      </c>
      <c r="B1" s="0" t="s">
        <v>424</v>
      </c>
      <c r="C1" s="0" t="s">
        <v>425</v>
      </c>
      <c r="D1" s="0" t="s">
        <v>426</v>
      </c>
      <c r="E1" s="0" t="s">
        <v>427</v>
      </c>
      <c r="F1" s="0" t="s">
        <v>428</v>
      </c>
      <c r="G1" s="0" t="s">
        <v>429</v>
      </c>
      <c r="H1" s="0" t="s">
        <v>430</v>
      </c>
      <c r="I1" s="0" t="s">
        <v>431</v>
      </c>
    </row>
    <row r="2" customFormat="false" ht="15" hidden="false" customHeight="false" outlineLevel="0" collapsed="false">
      <c r="A2" s="0" t="s">
        <v>432</v>
      </c>
      <c r="B2" s="0" t="s">
        <v>433</v>
      </c>
      <c r="C2" s="0" t="n">
        <v>15000000</v>
      </c>
      <c r="D2" s="0" t="n">
        <v>15000000</v>
      </c>
      <c r="E2" s="0" t="n">
        <v>682500</v>
      </c>
      <c r="F2" s="0" t="n">
        <v>9900</v>
      </c>
      <c r="G2" s="0" t="n">
        <v>212970</v>
      </c>
      <c r="H2" s="0" t="n">
        <v>164430</v>
      </c>
      <c r="I2" s="0" t="n">
        <v>932400</v>
      </c>
    </row>
    <row r="3" customFormat="false" ht="15" hidden="false" customHeight="false" outlineLevel="0" collapsed="false">
      <c r="A3" s="0" t="s">
        <v>434</v>
      </c>
      <c r="B3" s="0" t="s">
        <v>435</v>
      </c>
      <c r="C3" s="0" t="n">
        <v>50000000</v>
      </c>
      <c r="D3" s="0" t="n">
        <v>50000000</v>
      </c>
      <c r="E3" s="0" t="n">
        <v>2275000</v>
      </c>
      <c r="F3" s="0" t="n">
        <v>9900</v>
      </c>
      <c r="G3" s="0" t="n">
        <v>702970</v>
      </c>
      <c r="H3" s="0" t="n">
        <v>531930</v>
      </c>
      <c r="I3" s="0" t="n">
        <v>2450000</v>
      </c>
    </row>
    <row r="4" customFormat="false" ht="15" hidden="false" customHeight="false" outlineLevel="0" collapsed="false">
      <c r="A4" s="0" t="s">
        <v>436</v>
      </c>
      <c r="B4" s="0" t="s">
        <v>437</v>
      </c>
      <c r="C4" s="0" t="n">
        <v>200000000</v>
      </c>
      <c r="D4" s="0" t="n">
        <v>200000000</v>
      </c>
      <c r="E4" s="0" t="n">
        <v>9100000</v>
      </c>
      <c r="F4" s="0" t="n">
        <v>33000</v>
      </c>
      <c r="G4" s="0" t="n">
        <v>2806600</v>
      </c>
      <c r="H4" s="0" t="n">
        <v>2126400</v>
      </c>
      <c r="I4" s="0" t="n">
        <v>4850000</v>
      </c>
    </row>
    <row r="5" customFormat="false" ht="15" hidden="false" customHeight="false" outlineLevel="0" collapsed="false">
      <c r="A5" s="0" t="s">
        <v>438</v>
      </c>
      <c r="B5" s="0" t="s">
        <v>439</v>
      </c>
      <c r="C5" s="0" t="n">
        <v>500000000</v>
      </c>
      <c r="D5" s="0" t="n">
        <v>500000000</v>
      </c>
      <c r="E5" s="0" t="n">
        <v>22750000</v>
      </c>
      <c r="F5" s="0" t="n">
        <v>33000</v>
      </c>
      <c r="G5" s="0" t="n">
        <v>7006600</v>
      </c>
      <c r="H5" s="0" t="n">
        <v>5276400</v>
      </c>
      <c r="I5" s="0" t="n">
        <v>25056000</v>
      </c>
    </row>
    <row r="6" customFormat="false" ht="15" hidden="false" customHeight="false" outlineLevel="0" collapsed="false">
      <c r="A6" s="0" t="s">
        <v>440</v>
      </c>
      <c r="B6" s="0" t="s">
        <v>441</v>
      </c>
      <c r="C6" s="0" t="n">
        <v>2000000000</v>
      </c>
      <c r="D6" s="0" t="n">
        <v>2000000000</v>
      </c>
      <c r="E6" s="0" t="n">
        <v>91000000</v>
      </c>
      <c r="F6" s="0" t="n">
        <v>33000</v>
      </c>
      <c r="G6" s="0" t="n">
        <v>28006600</v>
      </c>
      <c r="H6" s="0" t="n">
        <v>21026400</v>
      </c>
      <c r="I6" s="0" t="n">
        <v>98313000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442</v>
      </c>
      <c r="B1" s="0" t="s">
        <v>443</v>
      </c>
      <c r="C1" s="0" t="s">
        <v>444</v>
      </c>
      <c r="D1" s="0" t="s">
        <v>445</v>
      </c>
    </row>
    <row r="2" customFormat="false" ht="15" hidden="false" customHeight="false" outlineLevel="0" collapsed="false">
      <c r="A2" s="0" t="s">
        <v>446</v>
      </c>
      <c r="B2" s="0" t="s">
        <v>447</v>
      </c>
      <c r="C2" s="0" t="s">
        <v>447</v>
      </c>
      <c r="D2" s="0" t="s">
        <v>448</v>
      </c>
    </row>
    <row r="3" customFormat="false" ht="15" hidden="false" customHeight="false" outlineLevel="0" collapsed="false">
      <c r="A3" s="0" t="s">
        <v>449</v>
      </c>
      <c r="B3" s="0" t="s">
        <v>450</v>
      </c>
      <c r="C3" s="0" t="s">
        <v>451</v>
      </c>
      <c r="D3" s="0" t="s">
        <v>452</v>
      </c>
    </row>
    <row r="4" customFormat="false" ht="15" hidden="false" customHeight="false" outlineLevel="0" collapsed="false">
      <c r="A4" s="0" t="s">
        <v>453</v>
      </c>
      <c r="B4" s="0" t="s">
        <v>454</v>
      </c>
      <c r="C4" s="0" t="s">
        <v>455</v>
      </c>
      <c r="D4" s="0" t="s">
        <v>456</v>
      </c>
    </row>
    <row r="5" customFormat="false" ht="15" hidden="false" customHeight="false" outlineLevel="0" collapsed="false">
      <c r="A5" s="0" t="s">
        <v>457</v>
      </c>
      <c r="B5" s="0" t="s">
        <v>450</v>
      </c>
      <c r="C5" s="0" t="s">
        <v>458</v>
      </c>
      <c r="D5" s="0" t="s">
        <v>459</v>
      </c>
    </row>
    <row r="6" customFormat="false" ht="15" hidden="false" customHeight="false" outlineLevel="0" collapsed="false">
      <c r="A6" s="0" t="s">
        <v>460</v>
      </c>
      <c r="B6" s="0" t="s">
        <v>461</v>
      </c>
      <c r="C6" s="0" t="s">
        <v>462</v>
      </c>
      <c r="D6" s="0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2026-03-27T15:11:46Z</dcterms:created>
  <dc:creator>openpyxl</dc:creator>
  <dc:description/>
  <dc:language>en-US</dc:language>
  <cp:lastModifiedBy/>
  <dcterms:modified xsi:type="dcterms:W3CDTF">2026-03-27T15:11:47Z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